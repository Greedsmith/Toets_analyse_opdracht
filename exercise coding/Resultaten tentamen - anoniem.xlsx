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hrnl-my.sharepoint.com/personal/busal_hr_nl/Documents/Discrete Math/"/>
    </mc:Choice>
  </mc:AlternateContent>
  <xr:revisionPtr revIDLastSave="2070" documentId="11_58E95058891A4DFDD24E098D397679ACD6CCA107" xr6:coauthVersionLast="47" xr6:coauthVersionMax="47" xr10:uidLastSave="{5D10ADA3-CCDC-4CE1-810E-434833F69749}"/>
  <bookViews>
    <workbookView xWindow="-110" yWindow="-110" windowWidth="27580" windowHeight="17860" xr2:uid="{00000000-000D-0000-FFFF-FFFF00000000}"/>
  </bookViews>
  <sheets>
    <sheet name="Resultaten" sheetId="1" r:id="rId1"/>
  </sheets>
  <definedNames>
    <definedName name="_xlnm._FilterDatabase" localSheetId="0" hidden="1">Resultaten!$A$2:$X$110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9" i="1" l="1"/>
  <c r="X79" i="1" s="1"/>
  <c r="W53" i="1"/>
  <c r="X53" i="1" s="1"/>
  <c r="W65" i="1"/>
  <c r="X65" i="1" s="1"/>
  <c r="W105" i="1"/>
  <c r="X105" i="1" s="1"/>
  <c r="W20" i="1"/>
  <c r="X20" i="1" s="1"/>
  <c r="W28" i="1"/>
  <c r="X28" i="1" s="1"/>
  <c r="W47" i="1"/>
  <c r="X47" i="1" s="1"/>
  <c r="W50" i="1"/>
  <c r="X50" i="1" s="1"/>
  <c r="W48" i="1"/>
  <c r="X48" i="1" s="1"/>
  <c r="W106" i="1"/>
  <c r="X106" i="1" s="1"/>
  <c r="W66" i="1"/>
  <c r="X66" i="1" s="1"/>
  <c r="W38" i="1"/>
  <c r="X38" i="1" s="1"/>
  <c r="W16" i="1"/>
  <c r="X16" i="1" s="1"/>
  <c r="W26" i="1"/>
  <c r="X26" i="1" s="1"/>
  <c r="W58" i="1"/>
  <c r="X58" i="1" s="1"/>
  <c r="W94" i="1"/>
  <c r="X94" i="1" s="1"/>
  <c r="W108" i="1"/>
  <c r="X108" i="1" s="1"/>
  <c r="W75" i="1"/>
  <c r="X75" i="1" s="1"/>
  <c r="W88" i="1"/>
  <c r="X88" i="1" s="1"/>
  <c r="W98" i="1"/>
  <c r="X98" i="1" s="1"/>
  <c r="W63" i="1"/>
  <c r="X63" i="1" s="1"/>
  <c r="W31" i="1"/>
  <c r="X31" i="1" s="1"/>
  <c r="W15" i="1"/>
  <c r="X15" i="1" s="1"/>
  <c r="W36" i="1"/>
  <c r="X36" i="1" s="1"/>
  <c r="W42" i="1"/>
  <c r="X42" i="1" s="1"/>
  <c r="W54" i="1"/>
  <c r="X54" i="1" s="1"/>
  <c r="W61" i="1"/>
  <c r="X61" i="1" s="1"/>
  <c r="W4" i="1"/>
  <c r="X4" i="1" s="1"/>
  <c r="W29" i="1"/>
  <c r="X29" i="1" s="1"/>
  <c r="W99" i="1"/>
  <c r="X99" i="1" s="1"/>
  <c r="W86" i="1"/>
  <c r="X86" i="1" s="1"/>
  <c r="W55" i="1"/>
  <c r="X55" i="1" s="1"/>
  <c r="W30" i="1"/>
  <c r="X30" i="1" s="1"/>
  <c r="W17" i="1"/>
  <c r="X17" i="1" s="1"/>
  <c r="W102" i="1"/>
  <c r="X102" i="1" s="1"/>
  <c r="W24" i="1"/>
  <c r="X24" i="1" s="1"/>
  <c r="W81" i="1"/>
  <c r="X81" i="1" s="1"/>
  <c r="W43" i="1"/>
  <c r="X43" i="1" s="1"/>
  <c r="W62" i="1"/>
  <c r="X62" i="1" s="1"/>
  <c r="W72" i="1"/>
  <c r="X72" i="1" s="1"/>
  <c r="W83" i="1"/>
  <c r="X83" i="1" s="1"/>
  <c r="W18" i="1"/>
  <c r="X18" i="1" s="1"/>
  <c r="W9" i="1"/>
  <c r="X9" i="1" s="1"/>
  <c r="W46" i="1"/>
  <c r="X46" i="1" s="1"/>
  <c r="W57" i="1"/>
  <c r="X57" i="1" s="1"/>
  <c r="W6" i="1"/>
  <c r="X6" i="1" s="1"/>
  <c r="W27" i="1"/>
  <c r="X27" i="1" s="1"/>
  <c r="W107" i="1"/>
  <c r="X107" i="1" s="1"/>
  <c r="W97" i="1"/>
  <c r="X97" i="1" s="1"/>
  <c r="W3" i="1"/>
  <c r="X3" i="1" s="1"/>
  <c r="W12" i="1"/>
  <c r="X12" i="1" s="1"/>
  <c r="W74" i="1"/>
  <c r="X74" i="1" s="1"/>
  <c r="W59" i="1"/>
  <c r="X59" i="1" s="1"/>
  <c r="W78" i="1"/>
  <c r="X78" i="1" s="1"/>
  <c r="W32" i="1"/>
  <c r="X32" i="1" s="1"/>
  <c r="W40" i="1"/>
  <c r="X40" i="1" s="1"/>
  <c r="W19" i="1"/>
  <c r="X19" i="1" s="1"/>
  <c r="W90" i="1"/>
  <c r="X90" i="1" s="1"/>
  <c r="W80" i="1"/>
  <c r="X80" i="1" s="1"/>
  <c r="W52" i="1"/>
  <c r="X52" i="1" s="1"/>
  <c r="W10" i="1"/>
  <c r="X10" i="1" s="1"/>
  <c r="W109" i="1"/>
  <c r="X109" i="1" s="1"/>
  <c r="W11" i="1"/>
  <c r="X11" i="1" s="1"/>
  <c r="W35" i="1"/>
  <c r="X35" i="1" s="1"/>
  <c r="W92" i="1"/>
  <c r="X92" i="1" s="1"/>
  <c r="W93" i="1"/>
  <c r="X93" i="1" s="1"/>
  <c r="W7" i="1"/>
  <c r="X7" i="1" s="1"/>
  <c r="W84" i="1"/>
  <c r="X84" i="1" s="1"/>
  <c r="W67" i="1"/>
  <c r="X67" i="1" s="1"/>
  <c r="W37" i="1"/>
  <c r="X37" i="1" s="1"/>
  <c r="W71" i="1"/>
  <c r="X71" i="1" s="1"/>
  <c r="W73" i="1"/>
  <c r="X73" i="1" s="1"/>
  <c r="W25" i="1"/>
  <c r="X25" i="1" s="1"/>
  <c r="W96" i="1"/>
  <c r="X96" i="1" s="1"/>
  <c r="W95" i="1"/>
  <c r="X95" i="1" s="1"/>
  <c r="W77" i="1"/>
  <c r="X77" i="1" s="1"/>
  <c r="W103" i="1"/>
  <c r="X103" i="1" s="1"/>
  <c r="W60" i="1"/>
  <c r="X60" i="1" s="1"/>
  <c r="W91" i="1"/>
  <c r="X91" i="1" s="1"/>
  <c r="W22" i="1"/>
  <c r="X22" i="1" s="1"/>
  <c r="W76" i="1"/>
  <c r="X76" i="1" s="1"/>
  <c r="W14" i="1"/>
  <c r="X14" i="1" s="1"/>
  <c r="W13" i="1"/>
  <c r="X13" i="1" s="1"/>
  <c r="W44" i="1"/>
  <c r="X44" i="1" s="1"/>
  <c r="W85" i="1"/>
  <c r="X85" i="1" s="1"/>
  <c r="W33" i="1"/>
  <c r="X33" i="1" s="1"/>
  <c r="W87" i="1"/>
  <c r="X87" i="1" s="1"/>
  <c r="W56" i="1"/>
  <c r="X56" i="1" s="1"/>
  <c r="W8" i="1"/>
  <c r="X8" i="1" s="1"/>
  <c r="W70" i="1"/>
  <c r="X70" i="1" s="1"/>
  <c r="W68" i="1"/>
  <c r="X68" i="1" s="1"/>
  <c r="W69" i="1"/>
  <c r="X69" i="1" s="1"/>
  <c r="W51" i="1"/>
  <c r="X51" i="1" s="1"/>
  <c r="W64" i="1"/>
  <c r="X64" i="1" s="1"/>
  <c r="W101" i="1"/>
  <c r="X101" i="1" s="1"/>
  <c r="W82" i="1"/>
  <c r="X82" i="1" s="1"/>
  <c r="W45" i="1"/>
  <c r="X45" i="1" s="1"/>
  <c r="W89" i="1"/>
  <c r="X89" i="1" s="1"/>
  <c r="W34" i="1"/>
  <c r="X34" i="1" s="1"/>
  <c r="W49" i="1"/>
  <c r="X49" i="1" s="1"/>
  <c r="W21" i="1"/>
  <c r="X21" i="1" s="1"/>
  <c r="W100" i="1"/>
  <c r="X100" i="1" s="1"/>
  <c r="W23" i="1"/>
  <c r="X23" i="1" s="1"/>
  <c r="W110" i="1"/>
  <c r="X110" i="1" s="1"/>
  <c r="W5" i="1"/>
  <c r="X5" i="1" s="1"/>
  <c r="W39" i="1"/>
  <c r="X39" i="1" s="1"/>
  <c r="W41" i="1"/>
  <c r="X41" i="1" s="1"/>
  <c r="W104" i="1"/>
  <c r="X104" i="1" s="1"/>
</calcChain>
</file>

<file path=xl/sharedStrings.xml><?xml version="1.0" encoding="utf-8"?>
<sst xmlns="http://schemas.openxmlformats.org/spreadsheetml/2006/main" count="354" uniqueCount="239">
  <si>
    <t>Voornaam</t>
  </si>
  <si>
    <t>Studio</t>
  </si>
  <si>
    <t>Klas</t>
  </si>
  <si>
    <t>5a</t>
  </si>
  <si>
    <t>5b</t>
  </si>
  <si>
    <t>10a</t>
  </si>
  <si>
    <t>10b</t>
  </si>
  <si>
    <t>Totaal</t>
  </si>
  <si>
    <t>Cijfer</t>
  </si>
  <si>
    <t>Jansen</t>
  </si>
  <si>
    <t>1a</t>
  </si>
  <si>
    <t>1b</t>
  </si>
  <si>
    <t>2a</t>
  </si>
  <si>
    <t>2b</t>
  </si>
  <si>
    <t>3</t>
  </si>
  <si>
    <t>4</t>
  </si>
  <si>
    <t xml:space="preserve">Bakker       </t>
  </si>
  <si>
    <t xml:space="preserve">Visser       </t>
  </si>
  <si>
    <t xml:space="preserve">Meijer       </t>
  </si>
  <si>
    <t xml:space="preserve">Jacobs       </t>
  </si>
  <si>
    <t xml:space="preserve">Mulder       </t>
  </si>
  <si>
    <t xml:space="preserve">Koster       </t>
  </si>
  <si>
    <t xml:space="preserve">Smeets       </t>
  </si>
  <si>
    <t>6</t>
  </si>
  <si>
    <t>7</t>
  </si>
  <si>
    <t>8a</t>
  </si>
  <si>
    <t>8b</t>
  </si>
  <si>
    <t>9</t>
  </si>
  <si>
    <t>11</t>
  </si>
  <si>
    <t>12a</t>
  </si>
  <si>
    <t>12b</t>
  </si>
  <si>
    <t>Veen, van der</t>
  </si>
  <si>
    <t>Beek, van</t>
  </si>
  <si>
    <t>Berg, van den</t>
  </si>
  <si>
    <t xml:space="preserve">Daan    </t>
  </si>
  <si>
    <t xml:space="preserve">Emma    </t>
  </si>
  <si>
    <t xml:space="preserve">Noah    </t>
  </si>
  <si>
    <t xml:space="preserve">Julia   </t>
  </si>
  <si>
    <t xml:space="preserve">Milan   </t>
  </si>
  <si>
    <t xml:space="preserve">Lisa    </t>
  </si>
  <si>
    <t xml:space="preserve">Finn    </t>
  </si>
  <si>
    <t xml:space="preserve">Sophie  </t>
  </si>
  <si>
    <t xml:space="preserve">Levi    </t>
  </si>
  <si>
    <t xml:space="preserve">Sara    </t>
  </si>
  <si>
    <t xml:space="preserve">Max     </t>
  </si>
  <si>
    <t xml:space="preserve">Fleur   </t>
  </si>
  <si>
    <t xml:space="preserve">Sem     </t>
  </si>
  <si>
    <t xml:space="preserve">Eva     </t>
  </si>
  <si>
    <t xml:space="preserve">Lars    </t>
  </si>
  <si>
    <t xml:space="preserve">Nora    </t>
  </si>
  <si>
    <t xml:space="preserve">Bram    </t>
  </si>
  <si>
    <t xml:space="preserve">Tess    </t>
  </si>
  <si>
    <t xml:space="preserve">Luuk    </t>
  </si>
  <si>
    <t xml:space="preserve">Evi     </t>
  </si>
  <si>
    <t xml:space="preserve">Jesse   </t>
  </si>
  <si>
    <t xml:space="preserve">Mila    </t>
  </si>
  <si>
    <t xml:space="preserve">Mees    </t>
  </si>
  <si>
    <t xml:space="preserve">Anouk   </t>
  </si>
  <si>
    <t xml:space="preserve">Tygo    </t>
  </si>
  <si>
    <t xml:space="preserve">Roos    </t>
  </si>
  <si>
    <t xml:space="preserve">Guus    </t>
  </si>
  <si>
    <t xml:space="preserve">Lois    </t>
  </si>
  <si>
    <t xml:space="preserve">Tijn    </t>
  </si>
  <si>
    <t xml:space="preserve">Fien    </t>
  </si>
  <si>
    <t xml:space="preserve">Jip     </t>
  </si>
  <si>
    <t xml:space="preserve">Elin    </t>
  </si>
  <si>
    <t xml:space="preserve">Vince   </t>
  </si>
  <si>
    <t xml:space="preserve">Esmee   </t>
  </si>
  <si>
    <t xml:space="preserve">Teun    </t>
  </si>
  <si>
    <t xml:space="preserve">Lynn    </t>
  </si>
  <si>
    <t xml:space="preserve">Noud    </t>
  </si>
  <si>
    <t xml:space="preserve">Zoë     </t>
  </si>
  <si>
    <t xml:space="preserve">Bo      </t>
  </si>
  <si>
    <t xml:space="preserve">Julian  </t>
  </si>
  <si>
    <t xml:space="preserve">Liv     </t>
  </si>
  <si>
    <t xml:space="preserve">Simon   </t>
  </si>
  <si>
    <t xml:space="preserve">Ivy     </t>
  </si>
  <si>
    <t xml:space="preserve">Stijn   </t>
  </si>
  <si>
    <t xml:space="preserve">Lotte   </t>
  </si>
  <si>
    <t xml:space="preserve">Jace    </t>
  </si>
  <si>
    <t xml:space="preserve">Boaz    </t>
  </si>
  <si>
    <t xml:space="preserve">Saar    </t>
  </si>
  <si>
    <t xml:space="preserve">Ruben   </t>
  </si>
  <si>
    <t xml:space="preserve">Jade    </t>
  </si>
  <si>
    <t xml:space="preserve">Joep    </t>
  </si>
  <si>
    <t xml:space="preserve">Kiki    </t>
  </si>
  <si>
    <t xml:space="preserve">Sander  </t>
  </si>
  <si>
    <t xml:space="preserve">Dana    </t>
  </si>
  <si>
    <t xml:space="preserve">Maud    </t>
  </si>
  <si>
    <t xml:space="preserve">Samir   </t>
  </si>
  <si>
    <t xml:space="preserve">Aisha   </t>
  </si>
  <si>
    <t xml:space="preserve">Ahmed   </t>
  </si>
  <si>
    <t xml:space="preserve">Yara    </t>
  </si>
  <si>
    <t xml:space="preserve">Karim   </t>
  </si>
  <si>
    <t xml:space="preserve">Lina    </t>
  </si>
  <si>
    <t xml:space="preserve">Isaac   </t>
  </si>
  <si>
    <t xml:space="preserve">Zain    </t>
  </si>
  <si>
    <t xml:space="preserve">Lara    </t>
  </si>
  <si>
    <t xml:space="preserve">Youssef </t>
  </si>
  <si>
    <t xml:space="preserve">Sari    </t>
  </si>
  <si>
    <t xml:space="preserve">Naima   </t>
  </si>
  <si>
    <t xml:space="preserve">Amir    </t>
  </si>
  <si>
    <t xml:space="preserve">Yasmin  </t>
  </si>
  <si>
    <t xml:space="preserve">Ibrahim </t>
  </si>
  <si>
    <t>Fernando</t>
  </si>
  <si>
    <t xml:space="preserve">Giulia  </t>
  </si>
  <si>
    <t xml:space="preserve">Omar    </t>
  </si>
  <si>
    <t xml:space="preserve">Selina  </t>
  </si>
  <si>
    <t xml:space="preserve">Eduardo </t>
  </si>
  <si>
    <t xml:space="preserve">Amira   </t>
  </si>
  <si>
    <t xml:space="preserve">Jamal   </t>
  </si>
  <si>
    <t xml:space="preserve">Elif    </t>
  </si>
  <si>
    <t xml:space="preserve">Lia     </t>
  </si>
  <si>
    <t xml:space="preserve">Arjun   </t>
  </si>
  <si>
    <t xml:space="preserve">Sofia   </t>
  </si>
  <si>
    <t xml:space="preserve">Kaoutar </t>
  </si>
  <si>
    <t xml:space="preserve">Maarten </t>
  </si>
  <si>
    <t xml:space="preserve">Senna   </t>
  </si>
  <si>
    <t xml:space="preserve">Moos    </t>
  </si>
  <si>
    <t xml:space="preserve">Benthe  </t>
  </si>
  <si>
    <t xml:space="preserve">Tom     </t>
  </si>
  <si>
    <t xml:space="preserve">Thijs   </t>
  </si>
  <si>
    <t xml:space="preserve">Elena   </t>
  </si>
  <si>
    <t xml:space="preserve">Fatima  </t>
  </si>
  <si>
    <t xml:space="preserve">Victor  </t>
  </si>
  <si>
    <t xml:space="preserve">Boas    </t>
  </si>
  <si>
    <t xml:space="preserve">Nina    </t>
  </si>
  <si>
    <t xml:space="preserve">Abel    </t>
  </si>
  <si>
    <t xml:space="preserve">Jolie   </t>
  </si>
  <si>
    <t xml:space="preserve">Dani    </t>
  </si>
  <si>
    <t xml:space="preserve">Kyara   </t>
  </si>
  <si>
    <t xml:space="preserve">Kars    </t>
  </si>
  <si>
    <t xml:space="preserve">Esra    </t>
  </si>
  <si>
    <t xml:space="preserve">Lex     </t>
  </si>
  <si>
    <t xml:space="preserve">Floris  </t>
  </si>
  <si>
    <t xml:space="preserve">Halima  </t>
  </si>
  <si>
    <t xml:space="preserve">José    </t>
  </si>
  <si>
    <t xml:space="preserve">Smits       </t>
  </si>
  <si>
    <t xml:space="preserve">Bosch       </t>
  </si>
  <si>
    <t xml:space="preserve">Abadi       </t>
  </si>
  <si>
    <t xml:space="preserve">Asfaw       </t>
  </si>
  <si>
    <t xml:space="preserve">Essam       </t>
  </si>
  <si>
    <t xml:space="preserve">Pires       </t>
  </si>
  <si>
    <t xml:space="preserve">Osman       </t>
  </si>
  <si>
    <t xml:space="preserve">Demir       </t>
  </si>
  <si>
    <t xml:space="preserve">Lopez       </t>
  </si>
  <si>
    <t xml:space="preserve">Patel       </t>
  </si>
  <si>
    <t xml:space="preserve">Abdallah       </t>
  </si>
  <si>
    <t xml:space="preserve">Ali       </t>
  </si>
  <si>
    <t xml:space="preserve">Al-Saadi       </t>
  </si>
  <si>
    <t xml:space="preserve">Molenaar       </t>
  </si>
  <si>
    <t xml:space="preserve">Bashir       </t>
  </si>
  <si>
    <t xml:space="preserve">Ben Amar       </t>
  </si>
  <si>
    <t xml:space="preserve">Benders       </t>
  </si>
  <si>
    <t xml:space="preserve">Bensalem       </t>
  </si>
  <si>
    <t xml:space="preserve">Blom       </t>
  </si>
  <si>
    <t xml:space="preserve">Boer, de     </t>
  </si>
  <si>
    <t>Brink, van den</t>
  </si>
  <si>
    <t xml:space="preserve">Bruijn, de     </t>
  </si>
  <si>
    <t xml:space="preserve">Claessen       </t>
  </si>
  <si>
    <t>Dam, van</t>
  </si>
  <si>
    <t xml:space="preserve">Dijk, van    </t>
  </si>
  <si>
    <t>Dongen, van</t>
  </si>
  <si>
    <t xml:space="preserve">El Khoury       </t>
  </si>
  <si>
    <t>Elzen, van den</t>
  </si>
  <si>
    <t xml:space="preserve">Esch, van    </t>
  </si>
  <si>
    <t xml:space="preserve">Gerritsen       </t>
  </si>
  <si>
    <t xml:space="preserve">Graaf, de     </t>
  </si>
  <si>
    <t xml:space="preserve">Groot, de     </t>
  </si>
  <si>
    <t xml:space="preserve">Haan, de     </t>
  </si>
  <si>
    <t xml:space="preserve">Haas, de     </t>
  </si>
  <si>
    <t xml:space="preserve">Haji       </t>
  </si>
  <si>
    <t xml:space="preserve">Hamadi       </t>
  </si>
  <si>
    <t>Heijden, van der</t>
  </si>
  <si>
    <t xml:space="preserve">Hendriks       </t>
  </si>
  <si>
    <t xml:space="preserve">Hermans       </t>
  </si>
  <si>
    <t xml:space="preserve">Veldman       </t>
  </si>
  <si>
    <t xml:space="preserve">Hernandez       </t>
  </si>
  <si>
    <t xml:space="preserve">Hoekman       </t>
  </si>
  <si>
    <t xml:space="preserve">Hoekstra       </t>
  </si>
  <si>
    <t xml:space="preserve">Hossain       </t>
  </si>
  <si>
    <t>Hout, van den</t>
  </si>
  <si>
    <t xml:space="preserve">Janssen       </t>
  </si>
  <si>
    <t xml:space="preserve">Jaziri       </t>
  </si>
  <si>
    <t xml:space="preserve">Jong, de     </t>
  </si>
  <si>
    <t xml:space="preserve">Klerk, de     </t>
  </si>
  <si>
    <t xml:space="preserve">Kok       </t>
  </si>
  <si>
    <t xml:space="preserve">Koning, de     </t>
  </si>
  <si>
    <t xml:space="preserve">Kuipers       </t>
  </si>
  <si>
    <t>Laan, van der</t>
  </si>
  <si>
    <t xml:space="preserve">Laarman       </t>
  </si>
  <si>
    <t xml:space="preserve">Lammers       </t>
  </si>
  <si>
    <t xml:space="preserve">Lange, de     </t>
  </si>
  <si>
    <t xml:space="preserve">Leeuwen       </t>
  </si>
  <si>
    <t xml:space="preserve">Lemmens       </t>
  </si>
  <si>
    <t xml:space="preserve">Loon, van    </t>
  </si>
  <si>
    <t xml:space="preserve">Mahmood       </t>
  </si>
  <si>
    <t xml:space="preserve">Mansouri       </t>
  </si>
  <si>
    <t xml:space="preserve">Martens       </t>
  </si>
  <si>
    <t xml:space="preserve">Martínez       </t>
  </si>
  <si>
    <t>Meerhof, van der</t>
  </si>
  <si>
    <t xml:space="preserve">Mohammed       </t>
  </si>
  <si>
    <t xml:space="preserve">Nguyen       </t>
  </si>
  <si>
    <t>Oosten, van</t>
  </si>
  <si>
    <t xml:space="preserve">Peeters       </t>
  </si>
  <si>
    <t>Ploeg, van der</t>
  </si>
  <si>
    <t>Pol, van der</t>
  </si>
  <si>
    <t xml:space="preserve">Post       </t>
  </si>
  <si>
    <t>Rijn, van</t>
  </si>
  <si>
    <t xml:space="preserve">Rodriguez       </t>
  </si>
  <si>
    <t xml:space="preserve">Romano       </t>
  </si>
  <si>
    <t xml:space="preserve">Ruijter, de     </t>
  </si>
  <si>
    <t xml:space="preserve">Ruiter, de     </t>
  </si>
  <si>
    <t xml:space="preserve">Sanders       </t>
  </si>
  <si>
    <t xml:space="preserve">Santos       </t>
  </si>
  <si>
    <t xml:space="preserve">Schipper       </t>
  </si>
  <si>
    <t xml:space="preserve">Scholten       </t>
  </si>
  <si>
    <t xml:space="preserve">Schouten       </t>
  </si>
  <si>
    <t xml:space="preserve">Smit       </t>
  </si>
  <si>
    <t xml:space="preserve">Tilburg, van    </t>
  </si>
  <si>
    <t xml:space="preserve">Timmermans       </t>
  </si>
  <si>
    <t>Veen, van</t>
  </si>
  <si>
    <t xml:space="preserve">Vermeulen       </t>
  </si>
  <si>
    <t>Vlist, van der</t>
  </si>
  <si>
    <t xml:space="preserve">Vos       </t>
  </si>
  <si>
    <t xml:space="preserve">Vos, de     </t>
  </si>
  <si>
    <t xml:space="preserve">Vries, de     </t>
  </si>
  <si>
    <t xml:space="preserve">Willems       </t>
  </si>
  <si>
    <t xml:space="preserve">Wit, de     </t>
  </si>
  <si>
    <t xml:space="preserve">Wolters       </t>
  </si>
  <si>
    <t xml:space="preserve">Wouters       </t>
  </si>
  <si>
    <t xml:space="preserve">Yilmaz       </t>
  </si>
  <si>
    <t>Zee, van der</t>
  </si>
  <si>
    <t>Achternaam/tussenvoegsel</t>
  </si>
  <si>
    <t>Q</t>
  </si>
  <si>
    <t>R</t>
  </si>
  <si>
    <t>S</t>
  </si>
  <si>
    <t>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</si>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</sst>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1C23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0" fontId="0" fillId="3" borderId="3" xfId="0" applyFill="1" applyBorder="1"/>
    <xf numFmtId="164" fontId="0" fillId="3" borderId="3" xfId="0" applyNumberFormat="1" applyFill="1" applyBorder="1"/>
    <xf numFmtId="0" fontId="3" fillId="3" borderId="2" xfId="0" applyNumberFormat="1" applyFont="1" applyFill="1" applyBorder="1" applyAlignment="1">
      <alignment horizontal="left" vertical="center"/>
    </xf>
    <xf numFmtId="0" fontId="3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10"/>
  <sheetViews>
    <sheetView tabSelected="1" zoomScaleNormal="100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I114" sqref="I114"/>
    </sheetView>
  </sheetViews>
  <sheetFormatPr defaultColWidth="8.90625" defaultRowHeight="14.5" x14ac:dyDescent="0.35"/>
  <cols>
    <col min="1" max="1" width="15.453125" bestFit="1" customWidth="1"/>
    <col min="2" max="2" width="15.453125" customWidth="1"/>
    <col min="3" max="3" width="9.453125" bestFit="1" customWidth="1"/>
    <col min="4" max="4" width="11.6328125" bestFit="1" customWidth="1"/>
    <col min="22" max="22" width="12.54296875" customWidth="1"/>
    <col min="23" max="23" width="10.7265625" customWidth="1"/>
    <col min="24" max="24" width="12.6328125" customWidth="1"/>
  </cols>
  <sheetData>
    <row r="2" spans="1:24" ht="15.5" x14ac:dyDescent="0.35">
      <c r="A2" s="1" t="s">
        <v>0</v>
      </c>
      <c r="B2" s="1" t="s">
        <v>233</v>
      </c>
      <c r="C2" s="2" t="s">
        <v>2</v>
      </c>
      <c r="D2" s="2" t="s">
        <v>1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3</v>
      </c>
      <c r="L2" s="5" t="s">
        <v>4</v>
      </c>
      <c r="M2" s="5" t="s">
        <v>23</v>
      </c>
      <c r="N2" s="5" t="s">
        <v>24</v>
      </c>
      <c r="O2" s="5" t="s">
        <v>25</v>
      </c>
      <c r="P2" s="5" t="s">
        <v>26</v>
      </c>
      <c r="Q2" s="5" t="s">
        <v>27</v>
      </c>
      <c r="R2" s="5" t="s">
        <v>5</v>
      </c>
      <c r="S2" s="5" t="s">
        <v>6</v>
      </c>
      <c r="T2" s="5" t="s">
        <v>28</v>
      </c>
      <c r="U2" s="5" t="s">
        <v>29</v>
      </c>
      <c r="V2" s="5" t="s">
        <v>30</v>
      </c>
      <c r="W2" s="6" t="s">
        <v>7</v>
      </c>
      <c r="X2" s="6" t="s">
        <v>8</v>
      </c>
    </row>
    <row r="3" spans="1:24" ht="15.5" x14ac:dyDescent="0.35">
      <c r="A3" s="3" t="s">
        <v>92</v>
      </c>
      <c r="B3" s="9" t="s">
        <v>139</v>
      </c>
      <c r="C3" s="3" t="s">
        <v>237</v>
      </c>
      <c r="D3" s="3">
        <v>2</v>
      </c>
      <c r="E3" s="7">
        <v>1</v>
      </c>
      <c r="F3" s="7"/>
      <c r="G3" s="7"/>
      <c r="H3" s="7">
        <v>1</v>
      </c>
      <c r="I3" s="7"/>
      <c r="J3" s="7"/>
      <c r="K3" s="7">
        <v>1</v>
      </c>
      <c r="L3" s="7">
        <v>1</v>
      </c>
      <c r="M3" s="7"/>
      <c r="N3" s="7"/>
      <c r="O3" s="7">
        <v>1</v>
      </c>
      <c r="P3" s="7"/>
      <c r="Q3" s="7">
        <v>1</v>
      </c>
      <c r="R3" s="7">
        <v>1</v>
      </c>
      <c r="S3" s="7">
        <v>1</v>
      </c>
      <c r="T3" s="7"/>
      <c r="U3" s="7"/>
      <c r="V3" s="7">
        <v>1</v>
      </c>
      <c r="W3" s="7">
        <f t="shared" ref="W3:W34" si="0">SUM(E3:V3)</f>
        <v>9</v>
      </c>
      <c r="X3" s="8">
        <f t="shared" ref="X3:X34" si="1">1+W3/18*9</f>
        <v>5.5</v>
      </c>
    </row>
    <row r="4" spans="1:24" ht="15.5" x14ac:dyDescent="0.35">
      <c r="A4" s="3" t="s">
        <v>98</v>
      </c>
      <c r="B4" s="9" t="s">
        <v>147</v>
      </c>
      <c r="C4" s="3" t="s">
        <v>235</v>
      </c>
      <c r="D4" s="3">
        <v>1</v>
      </c>
      <c r="E4" s="7"/>
      <c r="F4" s="7"/>
      <c r="G4" s="7">
        <v>1</v>
      </c>
      <c r="H4" s="7">
        <v>1</v>
      </c>
      <c r="I4" s="7"/>
      <c r="J4" s="7"/>
      <c r="K4" s="7"/>
      <c r="L4" s="7"/>
      <c r="M4" s="7"/>
      <c r="N4" s="7"/>
      <c r="O4" s="7"/>
      <c r="P4" s="7"/>
      <c r="Q4" s="7">
        <v>1</v>
      </c>
      <c r="R4" s="7"/>
      <c r="S4" s="7"/>
      <c r="T4" s="7"/>
      <c r="U4" s="7"/>
      <c r="V4" s="7">
        <v>1</v>
      </c>
      <c r="W4" s="7">
        <f t="shared" si="0"/>
        <v>4</v>
      </c>
      <c r="X4" s="8">
        <f t="shared" si="1"/>
        <v>3</v>
      </c>
    </row>
    <row r="5" spans="1:24" ht="15.5" x14ac:dyDescent="0.35">
      <c r="A5" s="3" t="s">
        <v>103</v>
      </c>
      <c r="B5" s="9" t="s">
        <v>148</v>
      </c>
      <c r="C5" s="3" t="s">
        <v>236</v>
      </c>
      <c r="D5" s="3">
        <v>2</v>
      </c>
      <c r="E5" s="7">
        <v>0</v>
      </c>
      <c r="F5" s="7">
        <v>0</v>
      </c>
      <c r="G5" s="7">
        <v>0.5</v>
      </c>
      <c r="H5" s="7">
        <v>1</v>
      </c>
      <c r="I5" s="7">
        <v>0.5</v>
      </c>
      <c r="J5" s="7">
        <v>0</v>
      </c>
      <c r="K5" s="7">
        <v>1</v>
      </c>
      <c r="L5" s="7">
        <v>1</v>
      </c>
      <c r="M5" s="7">
        <v>0.5</v>
      </c>
      <c r="N5" s="7">
        <v>0</v>
      </c>
      <c r="O5" s="7">
        <v>0.5</v>
      </c>
      <c r="P5" s="7">
        <v>0</v>
      </c>
      <c r="Q5" s="7">
        <v>1</v>
      </c>
      <c r="R5" s="7">
        <v>1</v>
      </c>
      <c r="S5" s="7">
        <v>1</v>
      </c>
      <c r="T5" s="7">
        <v>1</v>
      </c>
      <c r="U5" s="7">
        <v>0</v>
      </c>
      <c r="V5" s="7">
        <v>0</v>
      </c>
      <c r="W5" s="7">
        <f t="shared" si="0"/>
        <v>9</v>
      </c>
      <c r="X5" s="8">
        <f t="shared" si="1"/>
        <v>5.5</v>
      </c>
    </row>
    <row r="6" spans="1:24" ht="15.5" x14ac:dyDescent="0.35">
      <c r="A6" s="3" t="s">
        <v>102</v>
      </c>
      <c r="B6" s="9" t="s">
        <v>149</v>
      </c>
      <c r="C6" s="3" t="s">
        <v>235</v>
      </c>
      <c r="D6" s="3">
        <v>1</v>
      </c>
      <c r="E6" s="7"/>
      <c r="F6" s="7"/>
      <c r="G6" s="7"/>
      <c r="H6" s="7">
        <v>1</v>
      </c>
      <c r="I6" s="7"/>
      <c r="J6" s="7"/>
      <c r="K6" s="7"/>
      <c r="L6" s="7">
        <v>1</v>
      </c>
      <c r="M6" s="7">
        <v>1</v>
      </c>
      <c r="N6" s="7"/>
      <c r="O6" s="7"/>
      <c r="P6" s="7">
        <v>1</v>
      </c>
      <c r="Q6" s="7">
        <v>1</v>
      </c>
      <c r="R6" s="7"/>
      <c r="S6" s="7">
        <v>1</v>
      </c>
      <c r="T6" s="7"/>
      <c r="U6" s="7"/>
      <c r="V6" s="7"/>
      <c r="W6" s="7">
        <f t="shared" si="0"/>
        <v>6</v>
      </c>
      <c r="X6" s="8">
        <f t="shared" si="1"/>
        <v>4</v>
      </c>
    </row>
    <row r="7" spans="1:24" ht="15.5" x14ac:dyDescent="0.35">
      <c r="A7" s="3" t="s">
        <v>55</v>
      </c>
      <c r="B7" s="9" t="s">
        <v>140</v>
      </c>
      <c r="C7" s="3" t="s">
        <v>234</v>
      </c>
      <c r="D7" s="3">
        <v>1</v>
      </c>
      <c r="E7" s="7">
        <v>1</v>
      </c>
      <c r="F7" s="7">
        <v>0</v>
      </c>
      <c r="G7" s="7">
        <v>1</v>
      </c>
      <c r="H7" s="7">
        <v>1</v>
      </c>
      <c r="I7" s="7">
        <v>0.5</v>
      </c>
      <c r="J7" s="7">
        <v>0.5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1</v>
      </c>
      <c r="R7" s="7">
        <v>0</v>
      </c>
      <c r="S7" s="7">
        <v>1</v>
      </c>
      <c r="T7" s="7">
        <v>1</v>
      </c>
      <c r="U7" s="7">
        <v>0</v>
      </c>
      <c r="V7" s="7">
        <v>1</v>
      </c>
      <c r="W7" s="7">
        <f t="shared" si="0"/>
        <v>8</v>
      </c>
      <c r="X7" s="8">
        <f t="shared" si="1"/>
        <v>5</v>
      </c>
    </row>
    <row r="8" spans="1:24" ht="15.5" x14ac:dyDescent="0.35">
      <c r="A8" s="3" t="s">
        <v>36</v>
      </c>
      <c r="B8" s="9" t="s">
        <v>16</v>
      </c>
      <c r="C8" s="3" t="s">
        <v>234</v>
      </c>
      <c r="D8" s="3">
        <v>1</v>
      </c>
      <c r="E8" s="7">
        <v>0</v>
      </c>
      <c r="F8" s="7">
        <v>0</v>
      </c>
      <c r="G8" s="7">
        <v>0</v>
      </c>
      <c r="H8" s="7">
        <v>1</v>
      </c>
      <c r="I8" s="7">
        <v>1</v>
      </c>
      <c r="J8" s="7">
        <v>0</v>
      </c>
      <c r="K8" s="7">
        <v>0.5</v>
      </c>
      <c r="L8" s="7">
        <v>0</v>
      </c>
      <c r="M8" s="7">
        <v>0</v>
      </c>
      <c r="N8" s="7">
        <v>0</v>
      </c>
      <c r="O8" s="7">
        <v>0</v>
      </c>
      <c r="P8" s="7">
        <v>1</v>
      </c>
      <c r="Q8" s="7">
        <v>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f t="shared" si="0"/>
        <v>4.5</v>
      </c>
      <c r="X8" s="8">
        <f t="shared" si="1"/>
        <v>3.25</v>
      </c>
    </row>
    <row r="9" spans="1:24" ht="15.5" x14ac:dyDescent="0.35">
      <c r="A9" s="3" t="s">
        <v>121</v>
      </c>
      <c r="B9" s="9" t="s">
        <v>150</v>
      </c>
      <c r="C9" s="3" t="s">
        <v>237</v>
      </c>
      <c r="D9" s="3">
        <v>2</v>
      </c>
      <c r="E9" s="7">
        <v>1</v>
      </c>
      <c r="F9" s="7"/>
      <c r="G9" s="7"/>
      <c r="H9" s="7">
        <v>1</v>
      </c>
      <c r="I9" s="7"/>
      <c r="J9" s="7"/>
      <c r="K9" s="7">
        <v>1</v>
      </c>
      <c r="L9" s="7">
        <v>1</v>
      </c>
      <c r="M9" s="7">
        <v>1</v>
      </c>
      <c r="N9" s="7"/>
      <c r="O9" s="7"/>
      <c r="P9" s="7"/>
      <c r="Q9" s="7">
        <v>1</v>
      </c>
      <c r="R9" s="7">
        <v>1</v>
      </c>
      <c r="S9" s="7">
        <v>1</v>
      </c>
      <c r="T9" s="7">
        <v>1</v>
      </c>
      <c r="U9" s="7"/>
      <c r="V9" s="7"/>
      <c r="W9" s="7">
        <f t="shared" si="0"/>
        <v>9</v>
      </c>
      <c r="X9" s="8">
        <f t="shared" si="1"/>
        <v>5.5</v>
      </c>
    </row>
    <row r="10" spans="1:24" ht="15.5" x14ac:dyDescent="0.35">
      <c r="A10" s="3" t="s">
        <v>101</v>
      </c>
      <c r="B10" s="9" t="s">
        <v>151</v>
      </c>
      <c r="C10" s="3" t="s">
        <v>237</v>
      </c>
      <c r="D10" s="3">
        <v>2</v>
      </c>
      <c r="E10" s="7"/>
      <c r="F10" s="7"/>
      <c r="G10" s="7">
        <v>1</v>
      </c>
      <c r="H10" s="7">
        <v>1</v>
      </c>
      <c r="I10" s="7"/>
      <c r="J10" s="7"/>
      <c r="K10" s="7">
        <v>1</v>
      </c>
      <c r="L10" s="7">
        <v>1</v>
      </c>
      <c r="M10" s="7">
        <v>1</v>
      </c>
      <c r="N10" s="7"/>
      <c r="O10" s="7"/>
      <c r="P10" s="7"/>
      <c r="Q10" s="7">
        <v>1</v>
      </c>
      <c r="R10" s="7">
        <v>1</v>
      </c>
      <c r="S10" s="7">
        <v>1</v>
      </c>
      <c r="T10" s="7">
        <v>1</v>
      </c>
      <c r="U10" s="7"/>
      <c r="V10" s="7">
        <v>1</v>
      </c>
      <c r="W10" s="7">
        <f t="shared" si="0"/>
        <v>10</v>
      </c>
      <c r="X10" s="8">
        <f t="shared" si="1"/>
        <v>6</v>
      </c>
    </row>
    <row r="11" spans="1:24" ht="15.5" x14ac:dyDescent="0.35">
      <c r="A11" s="3" t="s">
        <v>60</v>
      </c>
      <c r="B11" s="9" t="s">
        <v>32</v>
      </c>
      <c r="C11" s="3" t="s">
        <v>237</v>
      </c>
      <c r="D11" s="3">
        <v>2</v>
      </c>
      <c r="E11" s="7">
        <v>1</v>
      </c>
      <c r="F11" s="7"/>
      <c r="G11" s="7">
        <v>1</v>
      </c>
      <c r="H11" s="7">
        <v>1</v>
      </c>
      <c r="I11" s="7"/>
      <c r="J11" s="7"/>
      <c r="K11" s="7">
        <v>1</v>
      </c>
      <c r="L11" s="7"/>
      <c r="M11" s="7">
        <v>1</v>
      </c>
      <c r="N11" s="7">
        <v>1</v>
      </c>
      <c r="O11" s="7">
        <v>1</v>
      </c>
      <c r="P11" s="7"/>
      <c r="Q11" s="7">
        <v>1</v>
      </c>
      <c r="R11" s="7"/>
      <c r="S11" s="7"/>
      <c r="T11" s="7">
        <v>1</v>
      </c>
      <c r="U11" s="7"/>
      <c r="V11" s="7">
        <v>1</v>
      </c>
      <c r="W11" s="7">
        <f t="shared" si="0"/>
        <v>10</v>
      </c>
      <c r="X11" s="8">
        <f t="shared" si="1"/>
        <v>6</v>
      </c>
    </row>
    <row r="12" spans="1:24" ht="15.5" x14ac:dyDescent="0.35">
      <c r="A12" s="3" t="s">
        <v>110</v>
      </c>
      <c r="B12" s="9" t="s">
        <v>152</v>
      </c>
      <c r="C12" s="3" t="s">
        <v>235</v>
      </c>
      <c r="D12" s="3">
        <v>1</v>
      </c>
      <c r="E12" s="7">
        <v>1</v>
      </c>
      <c r="F12" s="7">
        <v>1</v>
      </c>
      <c r="G12" s="7"/>
      <c r="H12" s="7">
        <v>1</v>
      </c>
      <c r="I12" s="7"/>
      <c r="J12" s="7"/>
      <c r="K12" s="7">
        <v>1</v>
      </c>
      <c r="L12" s="7">
        <v>1</v>
      </c>
      <c r="M12" s="7">
        <v>1</v>
      </c>
      <c r="N12" s="7">
        <v>1</v>
      </c>
      <c r="O12" s="7"/>
      <c r="P12" s="7"/>
      <c r="Q12" s="7">
        <v>1</v>
      </c>
      <c r="R12" s="7"/>
      <c r="S12" s="7"/>
      <c r="T12" s="7"/>
      <c r="U12" s="7">
        <v>1</v>
      </c>
      <c r="V12" s="7"/>
      <c r="W12" s="7">
        <f t="shared" si="0"/>
        <v>9</v>
      </c>
      <c r="X12" s="8">
        <f t="shared" si="1"/>
        <v>5.5</v>
      </c>
    </row>
    <row r="13" spans="1:24" ht="15.5" x14ac:dyDescent="0.35">
      <c r="A13" s="3" t="s">
        <v>86</v>
      </c>
      <c r="B13" s="9" t="s">
        <v>153</v>
      </c>
      <c r="C13" s="3" t="s">
        <v>235</v>
      </c>
      <c r="D13" s="3">
        <v>1</v>
      </c>
      <c r="E13" s="7">
        <v>1</v>
      </c>
      <c r="F13" s="7"/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/>
      <c r="N13" s="7">
        <v>1</v>
      </c>
      <c r="O13" s="7"/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/>
      <c r="V13" s="7">
        <v>1</v>
      </c>
      <c r="W13" s="7">
        <f t="shared" si="0"/>
        <v>14</v>
      </c>
      <c r="X13" s="8">
        <f t="shared" si="1"/>
        <v>8</v>
      </c>
    </row>
    <row r="14" spans="1:24" ht="15.5" x14ac:dyDescent="0.35">
      <c r="A14" s="3" t="s">
        <v>115</v>
      </c>
      <c r="B14" s="9" t="s">
        <v>154</v>
      </c>
      <c r="C14" s="3" t="s">
        <v>236</v>
      </c>
      <c r="D14" s="3">
        <v>2</v>
      </c>
      <c r="E14" s="7">
        <v>0</v>
      </c>
      <c r="F14" s="7">
        <v>0</v>
      </c>
      <c r="G14" s="7">
        <v>1</v>
      </c>
      <c r="H14" s="7">
        <v>1</v>
      </c>
      <c r="I14" s="7">
        <v>0</v>
      </c>
      <c r="J14" s="7">
        <v>0</v>
      </c>
      <c r="K14" s="7">
        <v>1</v>
      </c>
      <c r="L14" s="7">
        <v>0</v>
      </c>
      <c r="M14" s="7">
        <v>1</v>
      </c>
      <c r="N14" s="7">
        <v>0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0</v>
      </c>
      <c r="V14" s="7">
        <v>0</v>
      </c>
      <c r="W14" s="7">
        <f t="shared" si="0"/>
        <v>10</v>
      </c>
      <c r="X14" s="8">
        <f t="shared" si="1"/>
        <v>6</v>
      </c>
    </row>
    <row r="15" spans="1:24" ht="15.5" x14ac:dyDescent="0.35">
      <c r="A15" s="3" t="s">
        <v>80</v>
      </c>
      <c r="B15" s="9" t="s">
        <v>33</v>
      </c>
      <c r="C15" s="3" t="s">
        <v>236</v>
      </c>
      <c r="D15" s="3">
        <v>2</v>
      </c>
      <c r="E15" s="7">
        <v>0</v>
      </c>
      <c r="F15" s="7">
        <v>0</v>
      </c>
      <c r="G15" s="7">
        <v>0</v>
      </c>
      <c r="H15" s="7">
        <v>1</v>
      </c>
      <c r="I15" s="7">
        <v>0</v>
      </c>
      <c r="J15" s="7">
        <v>0</v>
      </c>
      <c r="K15" s="7">
        <v>1</v>
      </c>
      <c r="L15" s="7">
        <v>0</v>
      </c>
      <c r="M15" s="7">
        <v>1</v>
      </c>
      <c r="N15" s="7">
        <v>0</v>
      </c>
      <c r="O15" s="7">
        <v>0</v>
      </c>
      <c r="P15" s="7">
        <v>1</v>
      </c>
      <c r="Q15" s="7">
        <v>0</v>
      </c>
      <c r="R15" s="7">
        <v>0</v>
      </c>
      <c r="S15" s="7">
        <v>1</v>
      </c>
      <c r="T15" s="7">
        <v>0</v>
      </c>
      <c r="U15" s="7">
        <v>0</v>
      </c>
      <c r="V15" s="7">
        <v>0</v>
      </c>
      <c r="W15" s="7">
        <f t="shared" si="0"/>
        <v>5</v>
      </c>
      <c r="X15" s="8">
        <f t="shared" si="1"/>
        <v>3.5</v>
      </c>
    </row>
    <row r="16" spans="1:24" ht="15.5" x14ac:dyDescent="0.35">
      <c r="A16" s="3" t="s">
        <v>59</v>
      </c>
      <c r="B16" s="9" t="s">
        <v>155</v>
      </c>
      <c r="C16" s="3" t="s">
        <v>236</v>
      </c>
      <c r="D16" s="3">
        <v>2</v>
      </c>
      <c r="E16" s="7">
        <v>1</v>
      </c>
      <c r="F16" s="7">
        <v>0</v>
      </c>
      <c r="G16" s="7">
        <v>1</v>
      </c>
      <c r="H16" s="7">
        <v>1</v>
      </c>
      <c r="I16" s="7">
        <v>0</v>
      </c>
      <c r="J16" s="7">
        <v>0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0</v>
      </c>
      <c r="W16" s="7">
        <f t="shared" si="0"/>
        <v>14</v>
      </c>
      <c r="X16" s="8">
        <f t="shared" si="1"/>
        <v>8</v>
      </c>
    </row>
    <row r="17" spans="1:24" ht="15.5" x14ac:dyDescent="0.35">
      <c r="A17" s="3" t="s">
        <v>40</v>
      </c>
      <c r="B17" s="9" t="s">
        <v>156</v>
      </c>
      <c r="C17" s="3" t="s">
        <v>234</v>
      </c>
      <c r="D17" s="3">
        <v>1</v>
      </c>
      <c r="E17" s="7">
        <v>0</v>
      </c>
      <c r="F17" s="7">
        <v>0</v>
      </c>
      <c r="G17" s="7">
        <v>0.5</v>
      </c>
      <c r="H17" s="7">
        <v>1</v>
      </c>
      <c r="I17" s="7">
        <v>1</v>
      </c>
      <c r="J17" s="7">
        <v>0</v>
      </c>
      <c r="K17" s="7">
        <v>1</v>
      </c>
      <c r="L17" s="7">
        <v>1</v>
      </c>
      <c r="M17" s="7">
        <v>1</v>
      </c>
      <c r="N17" s="7">
        <v>0</v>
      </c>
      <c r="O17" s="7">
        <v>0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0</v>
      </c>
      <c r="V17" s="7">
        <v>1</v>
      </c>
      <c r="W17" s="7">
        <f t="shared" si="0"/>
        <v>11.5</v>
      </c>
      <c r="X17" s="8">
        <f t="shared" si="1"/>
        <v>6.75</v>
      </c>
    </row>
    <row r="18" spans="1:24" ht="15.5" x14ac:dyDescent="0.35">
      <c r="A18" s="3" t="s">
        <v>57</v>
      </c>
      <c r="B18" s="9" t="s">
        <v>138</v>
      </c>
      <c r="C18" s="3" t="s">
        <v>235</v>
      </c>
      <c r="D18" s="3">
        <v>1</v>
      </c>
      <c r="E18" s="7"/>
      <c r="F18" s="7"/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/>
      <c r="R18" s="7">
        <v>1</v>
      </c>
      <c r="S18" s="7">
        <v>1</v>
      </c>
      <c r="T18" s="7">
        <v>1</v>
      </c>
      <c r="U18" s="7"/>
      <c r="V18" s="7">
        <v>1</v>
      </c>
      <c r="W18" s="7">
        <f t="shared" si="0"/>
        <v>14</v>
      </c>
      <c r="X18" s="8">
        <f t="shared" si="1"/>
        <v>8</v>
      </c>
    </row>
    <row r="19" spans="1:24" ht="15.5" x14ac:dyDescent="0.35">
      <c r="A19" s="3" t="s">
        <v>126</v>
      </c>
      <c r="B19" s="9" t="s">
        <v>157</v>
      </c>
      <c r="C19" s="3" t="s">
        <v>236</v>
      </c>
      <c r="D19" s="3">
        <v>2</v>
      </c>
      <c r="E19" s="7">
        <v>1</v>
      </c>
      <c r="F19" s="7">
        <v>0</v>
      </c>
      <c r="G19" s="7">
        <v>1</v>
      </c>
      <c r="H19" s="7">
        <v>1</v>
      </c>
      <c r="I19" s="7">
        <v>1</v>
      </c>
      <c r="J19" s="7">
        <v>0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0</v>
      </c>
      <c r="R19" s="7">
        <v>1</v>
      </c>
      <c r="S19" s="7">
        <v>1</v>
      </c>
      <c r="T19" s="7">
        <v>1</v>
      </c>
      <c r="U19" s="7">
        <v>0</v>
      </c>
      <c r="V19" s="7">
        <v>1</v>
      </c>
      <c r="W19" s="7">
        <f t="shared" si="0"/>
        <v>14</v>
      </c>
      <c r="X19" s="8">
        <f t="shared" si="1"/>
        <v>8</v>
      </c>
    </row>
    <row r="20" spans="1:24" ht="15.5" x14ac:dyDescent="0.35">
      <c r="A20" s="3" t="s">
        <v>52</v>
      </c>
      <c r="B20" s="9" t="s">
        <v>158</v>
      </c>
      <c r="C20" s="3" t="s">
        <v>238</v>
      </c>
      <c r="D20" s="3" t="s">
        <v>14</v>
      </c>
      <c r="E20" s="7">
        <v>1</v>
      </c>
      <c r="F20" s="7"/>
      <c r="G20" s="7">
        <v>1</v>
      </c>
      <c r="H20" s="7">
        <v>1</v>
      </c>
      <c r="I20" s="7"/>
      <c r="J20" s="7"/>
      <c r="K20" s="7">
        <v>1</v>
      </c>
      <c r="L20" s="7">
        <v>1</v>
      </c>
      <c r="M20" s="7"/>
      <c r="N20" s="7"/>
      <c r="O20" s="7"/>
      <c r="P20" s="7"/>
      <c r="Q20" s="7">
        <v>1</v>
      </c>
      <c r="R20" s="7"/>
      <c r="S20" s="7">
        <v>1</v>
      </c>
      <c r="T20" s="7">
        <v>1</v>
      </c>
      <c r="U20" s="7"/>
      <c r="V20" s="7">
        <v>1</v>
      </c>
      <c r="W20" s="7">
        <f t="shared" si="0"/>
        <v>9</v>
      </c>
      <c r="X20" s="8">
        <f t="shared" si="1"/>
        <v>5.5</v>
      </c>
    </row>
    <row r="21" spans="1:24" ht="15.5" x14ac:dyDescent="0.35">
      <c r="A21" s="3" t="s">
        <v>85</v>
      </c>
      <c r="B21" s="9" t="s">
        <v>159</v>
      </c>
      <c r="C21" s="3" t="s">
        <v>236</v>
      </c>
      <c r="D21" s="3">
        <v>2</v>
      </c>
      <c r="E21" s="7">
        <v>0</v>
      </c>
      <c r="F21" s="7">
        <v>0</v>
      </c>
      <c r="G21" s="7">
        <v>1</v>
      </c>
      <c r="H21" s="7">
        <v>1</v>
      </c>
      <c r="I21" s="7">
        <v>0</v>
      </c>
      <c r="J21" s="7">
        <v>0</v>
      </c>
      <c r="K21" s="7">
        <v>1</v>
      </c>
      <c r="L21" s="7">
        <v>1</v>
      </c>
      <c r="M21" s="7">
        <v>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</v>
      </c>
      <c r="T21" s="7">
        <v>1</v>
      </c>
      <c r="U21" s="7">
        <v>0</v>
      </c>
      <c r="V21" s="7">
        <v>1</v>
      </c>
      <c r="W21" s="7">
        <f t="shared" si="0"/>
        <v>8</v>
      </c>
      <c r="X21" s="8">
        <f t="shared" si="1"/>
        <v>5</v>
      </c>
    </row>
    <row r="22" spans="1:24" ht="15.5" x14ac:dyDescent="0.35">
      <c r="A22" s="3" t="s">
        <v>46</v>
      </c>
      <c r="B22" s="9" t="s">
        <v>160</v>
      </c>
      <c r="C22" s="3" t="s">
        <v>236</v>
      </c>
      <c r="D22" s="3">
        <v>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>
        <f t="shared" si="0"/>
        <v>0</v>
      </c>
      <c r="X22" s="8">
        <f t="shared" si="1"/>
        <v>1</v>
      </c>
    </row>
    <row r="23" spans="1:24" ht="15.5" x14ac:dyDescent="0.35">
      <c r="A23" s="3" t="s">
        <v>66</v>
      </c>
      <c r="B23" s="9" t="s">
        <v>160</v>
      </c>
      <c r="C23" s="3" t="s">
        <v>237</v>
      </c>
      <c r="D23" s="3">
        <v>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>
        <f t="shared" si="0"/>
        <v>0</v>
      </c>
      <c r="X23" s="8">
        <f t="shared" si="1"/>
        <v>1</v>
      </c>
    </row>
    <row r="24" spans="1:24" ht="15.5" x14ac:dyDescent="0.35">
      <c r="A24" s="3" t="s">
        <v>111</v>
      </c>
      <c r="B24" s="9" t="s">
        <v>144</v>
      </c>
      <c r="C24" s="3" t="s">
        <v>236</v>
      </c>
      <c r="D24" s="3">
        <v>2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0</v>
      </c>
      <c r="N24" s="7">
        <v>1</v>
      </c>
      <c r="O24" s="7">
        <v>0.5</v>
      </c>
      <c r="P24" s="7">
        <v>0</v>
      </c>
      <c r="Q24" s="7">
        <v>1</v>
      </c>
      <c r="R24" s="7">
        <v>1</v>
      </c>
      <c r="S24" s="7">
        <v>0</v>
      </c>
      <c r="T24" s="7">
        <v>1</v>
      </c>
      <c r="U24" s="7">
        <v>1</v>
      </c>
      <c r="V24" s="7">
        <v>0</v>
      </c>
      <c r="W24" s="7">
        <f t="shared" si="0"/>
        <v>13.5</v>
      </c>
      <c r="X24" s="8">
        <f t="shared" si="1"/>
        <v>7.75</v>
      </c>
    </row>
    <row r="25" spans="1:24" ht="15.5" x14ac:dyDescent="0.35">
      <c r="A25" s="3" t="s">
        <v>39</v>
      </c>
      <c r="B25" s="9" t="s">
        <v>161</v>
      </c>
      <c r="C25" s="3" t="s">
        <v>237</v>
      </c>
      <c r="D25" s="3">
        <v>2</v>
      </c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>
        <v>1</v>
      </c>
      <c r="R25" s="7">
        <v>1</v>
      </c>
      <c r="S25" s="7">
        <v>1</v>
      </c>
      <c r="T25" s="7">
        <v>1</v>
      </c>
      <c r="U25" s="7"/>
      <c r="V25" s="7">
        <v>1</v>
      </c>
      <c r="W25" s="7">
        <f t="shared" si="0"/>
        <v>6</v>
      </c>
      <c r="X25" s="8">
        <f t="shared" si="1"/>
        <v>4</v>
      </c>
    </row>
    <row r="26" spans="1:24" ht="15.5" x14ac:dyDescent="0.35">
      <c r="A26" s="3" t="s">
        <v>130</v>
      </c>
      <c r="B26" s="9" t="s">
        <v>162</v>
      </c>
      <c r="C26" s="3" t="s">
        <v>237</v>
      </c>
      <c r="D26" s="3">
        <v>2</v>
      </c>
      <c r="E26" s="7"/>
      <c r="F26" s="7"/>
      <c r="G26" s="7">
        <v>1</v>
      </c>
      <c r="H26" s="7">
        <v>1</v>
      </c>
      <c r="I26" s="7"/>
      <c r="J26" s="7"/>
      <c r="K26" s="7">
        <v>1</v>
      </c>
      <c r="L26" s="7">
        <v>1</v>
      </c>
      <c r="M26" s="7">
        <v>1</v>
      </c>
      <c r="N26" s="7"/>
      <c r="O26" s="7"/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/>
      <c r="V26" s="7">
        <v>1</v>
      </c>
      <c r="W26" s="7">
        <f t="shared" si="0"/>
        <v>11</v>
      </c>
      <c r="X26" s="8">
        <f t="shared" si="1"/>
        <v>6.5</v>
      </c>
    </row>
    <row r="27" spans="1:24" ht="15.5" x14ac:dyDescent="0.35">
      <c r="A27" s="3" t="s">
        <v>90</v>
      </c>
      <c r="B27" s="9" t="s">
        <v>163</v>
      </c>
      <c r="C27" s="3" t="s">
        <v>237</v>
      </c>
      <c r="D27" s="3">
        <v>2</v>
      </c>
      <c r="E27" s="7">
        <v>1</v>
      </c>
      <c r="F27" s="7"/>
      <c r="G27" s="7">
        <v>1</v>
      </c>
      <c r="H27" s="7">
        <v>1</v>
      </c>
      <c r="I27" s="7"/>
      <c r="J27" s="7"/>
      <c r="K27" s="7">
        <v>1</v>
      </c>
      <c r="L27" s="7">
        <v>1</v>
      </c>
      <c r="M27" s="7">
        <v>1</v>
      </c>
      <c r="N27" s="7"/>
      <c r="O27" s="7"/>
      <c r="P27" s="7">
        <v>1</v>
      </c>
      <c r="Q27" s="7"/>
      <c r="R27" s="7"/>
      <c r="S27" s="7"/>
      <c r="T27" s="7"/>
      <c r="U27" s="7"/>
      <c r="V27" s="7">
        <v>1</v>
      </c>
      <c r="W27" s="7">
        <f t="shared" si="0"/>
        <v>8</v>
      </c>
      <c r="X27" s="8">
        <f t="shared" si="1"/>
        <v>5</v>
      </c>
    </row>
    <row r="28" spans="1:24" ht="15.5" x14ac:dyDescent="0.35">
      <c r="A28" s="3" t="s">
        <v>128</v>
      </c>
      <c r="B28" s="9" t="s">
        <v>164</v>
      </c>
      <c r="C28" s="3" t="s">
        <v>238</v>
      </c>
      <c r="D28" s="3" t="s">
        <v>14</v>
      </c>
      <c r="E28" s="7">
        <v>1</v>
      </c>
      <c r="F28" s="7"/>
      <c r="G28" s="7">
        <v>1</v>
      </c>
      <c r="H28" s="7">
        <v>1</v>
      </c>
      <c r="I28" s="7"/>
      <c r="J28" s="7"/>
      <c r="K28" s="7">
        <v>1</v>
      </c>
      <c r="L28" s="7">
        <v>1</v>
      </c>
      <c r="M28" s="7">
        <v>1</v>
      </c>
      <c r="N28" s="7">
        <v>1</v>
      </c>
      <c r="O28" s="7"/>
      <c r="P28" s="7"/>
      <c r="Q28" s="7">
        <v>1</v>
      </c>
      <c r="R28" s="7"/>
      <c r="S28" s="7">
        <v>1</v>
      </c>
      <c r="T28" s="7"/>
      <c r="U28" s="7"/>
      <c r="V28" s="7"/>
      <c r="W28" s="7">
        <f t="shared" si="0"/>
        <v>9</v>
      </c>
      <c r="X28" s="8">
        <f t="shared" si="1"/>
        <v>5.5</v>
      </c>
    </row>
    <row r="29" spans="1:24" ht="15.5" x14ac:dyDescent="0.35">
      <c r="A29" s="3" t="s">
        <v>119</v>
      </c>
      <c r="B29" s="9" t="s">
        <v>165</v>
      </c>
      <c r="C29" s="3" t="s">
        <v>234</v>
      </c>
      <c r="D29" s="3">
        <v>1</v>
      </c>
      <c r="E29" s="7">
        <v>1</v>
      </c>
      <c r="F29" s="7">
        <v>0</v>
      </c>
      <c r="G29" s="7">
        <v>0</v>
      </c>
      <c r="H29" s="7">
        <v>1</v>
      </c>
      <c r="I29" s="7">
        <v>0</v>
      </c>
      <c r="J29" s="7">
        <v>0</v>
      </c>
      <c r="K29" s="7">
        <v>0</v>
      </c>
      <c r="L29" s="7">
        <v>0</v>
      </c>
      <c r="M29" s="7">
        <v>1</v>
      </c>
      <c r="N29" s="7">
        <v>0</v>
      </c>
      <c r="O29" s="7">
        <v>0</v>
      </c>
      <c r="P29" s="7">
        <v>1</v>
      </c>
      <c r="Q29" s="7">
        <v>1</v>
      </c>
      <c r="R29" s="7">
        <v>0</v>
      </c>
      <c r="S29" s="7">
        <v>1</v>
      </c>
      <c r="T29" s="7">
        <v>0</v>
      </c>
      <c r="U29" s="7">
        <v>0</v>
      </c>
      <c r="V29" s="7">
        <v>0</v>
      </c>
      <c r="W29" s="7">
        <f t="shared" si="0"/>
        <v>6</v>
      </c>
      <c r="X29" s="8">
        <f t="shared" si="1"/>
        <v>4</v>
      </c>
    </row>
    <row r="30" spans="1:24" ht="15.5" x14ac:dyDescent="0.35">
      <c r="A30" s="3" t="s">
        <v>106</v>
      </c>
      <c r="B30" s="9" t="s">
        <v>141</v>
      </c>
      <c r="C30" s="3" t="s">
        <v>235</v>
      </c>
      <c r="D30" s="3">
        <v>1</v>
      </c>
      <c r="E30" s="7">
        <v>1</v>
      </c>
      <c r="F30" s="7"/>
      <c r="G30" s="7">
        <v>1</v>
      </c>
      <c r="H30" s="7">
        <v>1</v>
      </c>
      <c r="I30" s="7"/>
      <c r="J30" s="7"/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/>
      <c r="R30" s="7"/>
      <c r="S30" s="7">
        <v>1</v>
      </c>
      <c r="T30" s="7"/>
      <c r="U30" s="7">
        <v>1</v>
      </c>
      <c r="V30" s="7">
        <v>1</v>
      </c>
      <c r="W30" s="7">
        <f t="shared" si="0"/>
        <v>12</v>
      </c>
      <c r="X30" s="8">
        <f t="shared" si="1"/>
        <v>7</v>
      </c>
    </row>
    <row r="31" spans="1:24" ht="15.5" x14ac:dyDescent="0.35">
      <c r="A31" s="3" t="s">
        <v>122</v>
      </c>
      <c r="B31" s="9" t="s">
        <v>166</v>
      </c>
      <c r="C31" s="3" t="s">
        <v>237</v>
      </c>
      <c r="D31" s="3">
        <v>2</v>
      </c>
      <c r="E31" s="7">
        <v>1</v>
      </c>
      <c r="F31" s="7"/>
      <c r="G31" s="7">
        <v>1</v>
      </c>
      <c r="H31" s="7">
        <v>1</v>
      </c>
      <c r="I31" s="7"/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/>
      <c r="S31" s="7">
        <v>1</v>
      </c>
      <c r="T31" s="7">
        <v>1</v>
      </c>
      <c r="U31" s="7">
        <v>1</v>
      </c>
      <c r="V31" s="7">
        <v>1</v>
      </c>
      <c r="W31" s="7">
        <f t="shared" si="0"/>
        <v>15</v>
      </c>
      <c r="X31" s="8">
        <f t="shared" si="1"/>
        <v>8.5</v>
      </c>
    </row>
    <row r="32" spans="1:24" ht="15.5" x14ac:dyDescent="0.35">
      <c r="A32" s="3" t="s">
        <v>44</v>
      </c>
      <c r="B32" s="9" t="s">
        <v>167</v>
      </c>
      <c r="C32" s="3" t="s">
        <v>234</v>
      </c>
      <c r="D32" s="3">
        <v>1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1</v>
      </c>
      <c r="L32" s="7">
        <v>0</v>
      </c>
      <c r="M32" s="7">
        <v>0</v>
      </c>
      <c r="N32" s="7">
        <v>0</v>
      </c>
      <c r="O32" s="7">
        <v>0.5</v>
      </c>
      <c r="P32" s="7">
        <v>1</v>
      </c>
      <c r="Q32" s="7">
        <v>1</v>
      </c>
      <c r="R32" s="7">
        <v>0</v>
      </c>
      <c r="S32" s="7">
        <v>0</v>
      </c>
      <c r="T32" s="7">
        <v>0.5</v>
      </c>
      <c r="U32" s="7">
        <v>0</v>
      </c>
      <c r="V32" s="7">
        <v>0</v>
      </c>
      <c r="W32" s="7">
        <f t="shared" si="0"/>
        <v>5</v>
      </c>
      <c r="X32" s="8">
        <f t="shared" si="1"/>
        <v>3.5</v>
      </c>
    </row>
    <row r="33" spans="1:24" ht="15.5" x14ac:dyDescent="0.35">
      <c r="A33" s="3" t="s">
        <v>58</v>
      </c>
      <c r="B33" s="9" t="s">
        <v>168</v>
      </c>
      <c r="C33" s="3" t="s">
        <v>234</v>
      </c>
      <c r="D33" s="3">
        <v>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f t="shared" si="0"/>
        <v>0</v>
      </c>
      <c r="X33" s="8">
        <f t="shared" si="1"/>
        <v>1</v>
      </c>
    </row>
    <row r="34" spans="1:24" ht="15.5" x14ac:dyDescent="0.35">
      <c r="A34" s="3" t="s">
        <v>125</v>
      </c>
      <c r="B34" s="9" t="s">
        <v>169</v>
      </c>
      <c r="C34" s="3" t="s">
        <v>237</v>
      </c>
      <c r="D34" s="3">
        <v>2</v>
      </c>
      <c r="E34" s="7">
        <v>1</v>
      </c>
      <c r="F34" s="7">
        <v>1</v>
      </c>
      <c r="G34" s="7"/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/>
      <c r="N34" s="7"/>
      <c r="O34" s="7">
        <v>1</v>
      </c>
      <c r="P34" s="7">
        <v>1</v>
      </c>
      <c r="Q34" s="7"/>
      <c r="R34" s="7"/>
      <c r="S34" s="7">
        <v>1</v>
      </c>
      <c r="T34" s="7"/>
      <c r="U34" s="7"/>
      <c r="V34" s="7">
        <v>1</v>
      </c>
      <c r="W34" s="7">
        <f t="shared" si="0"/>
        <v>11</v>
      </c>
      <c r="X34" s="8">
        <f t="shared" si="1"/>
        <v>6.5</v>
      </c>
    </row>
    <row r="35" spans="1:24" ht="15.5" x14ac:dyDescent="0.35">
      <c r="A35" s="3" t="s">
        <v>87</v>
      </c>
      <c r="B35" s="9" t="s">
        <v>170</v>
      </c>
      <c r="C35" s="3" t="s">
        <v>236</v>
      </c>
      <c r="D35" s="3">
        <v>2</v>
      </c>
      <c r="E35" s="7">
        <v>1</v>
      </c>
      <c r="F35" s="7">
        <v>0</v>
      </c>
      <c r="G35" s="7">
        <v>1</v>
      </c>
      <c r="H35" s="7">
        <v>1</v>
      </c>
      <c r="I35" s="7">
        <v>0.5</v>
      </c>
      <c r="J35" s="7">
        <v>0.5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0</v>
      </c>
      <c r="V35" s="7">
        <v>1</v>
      </c>
      <c r="W35" s="7">
        <f t="shared" ref="W35:W66" si="2">SUM(E35:V35)</f>
        <v>15</v>
      </c>
      <c r="X35" s="8">
        <f t="shared" ref="X35:X66" si="3">1+W35/18*9</f>
        <v>8.5</v>
      </c>
    </row>
    <row r="36" spans="1:24" ht="15.5" x14ac:dyDescent="0.35">
      <c r="A36" s="3" t="s">
        <v>95</v>
      </c>
      <c r="B36" s="9" t="s">
        <v>171</v>
      </c>
      <c r="C36" s="3" t="s">
        <v>235</v>
      </c>
      <c r="D36" s="3">
        <v>1</v>
      </c>
      <c r="E36" s="7">
        <v>1</v>
      </c>
      <c r="F36" s="7">
        <v>1</v>
      </c>
      <c r="G36" s="7">
        <v>1</v>
      </c>
      <c r="H36" s="7">
        <v>1</v>
      </c>
      <c r="I36" s="7"/>
      <c r="J36" s="7"/>
      <c r="K36" s="7">
        <v>1</v>
      </c>
      <c r="L36" s="7">
        <v>1</v>
      </c>
      <c r="M36" s="7">
        <v>1</v>
      </c>
      <c r="N36" s="7">
        <v>1</v>
      </c>
      <c r="O36" s="7"/>
      <c r="P36" s="7">
        <v>1</v>
      </c>
      <c r="Q36" s="7">
        <v>1</v>
      </c>
      <c r="R36" s="7"/>
      <c r="S36" s="7"/>
      <c r="T36" s="7"/>
      <c r="U36" s="7"/>
      <c r="V36" s="7"/>
      <c r="W36" s="7">
        <f t="shared" si="2"/>
        <v>10</v>
      </c>
      <c r="X36" s="8">
        <f t="shared" si="3"/>
        <v>6</v>
      </c>
    </row>
    <row r="37" spans="1:24" ht="15.5" x14ac:dyDescent="0.35">
      <c r="A37" s="3" t="s">
        <v>91</v>
      </c>
      <c r="B37" s="9" t="s">
        <v>172</v>
      </c>
      <c r="C37" s="3" t="s">
        <v>237</v>
      </c>
      <c r="D37" s="3">
        <v>2</v>
      </c>
      <c r="E37" s="7">
        <v>1</v>
      </c>
      <c r="F37" s="7"/>
      <c r="G37" s="7">
        <v>1</v>
      </c>
      <c r="H37" s="7">
        <v>1</v>
      </c>
      <c r="I37" s="7"/>
      <c r="J37" s="7"/>
      <c r="K37" s="7">
        <v>1</v>
      </c>
      <c r="L37" s="7">
        <v>1</v>
      </c>
      <c r="M37" s="7"/>
      <c r="N37" s="7"/>
      <c r="O37" s="7"/>
      <c r="P37" s="7"/>
      <c r="Q37" s="7">
        <v>1</v>
      </c>
      <c r="R37" s="7">
        <v>1</v>
      </c>
      <c r="S37" s="7"/>
      <c r="T37" s="7"/>
      <c r="U37" s="7"/>
      <c r="V37" s="7"/>
      <c r="W37" s="7">
        <f t="shared" si="2"/>
        <v>7</v>
      </c>
      <c r="X37" s="8">
        <f t="shared" si="3"/>
        <v>4.5</v>
      </c>
    </row>
    <row r="38" spans="1:24" ht="15.5" x14ac:dyDescent="0.35">
      <c r="A38" s="3" t="s">
        <v>83</v>
      </c>
      <c r="B38" s="9" t="s">
        <v>173</v>
      </c>
      <c r="C38" s="3" t="s">
        <v>234</v>
      </c>
      <c r="D38" s="3">
        <v>1</v>
      </c>
      <c r="E38" s="7">
        <v>1</v>
      </c>
      <c r="F38" s="7">
        <v>0</v>
      </c>
      <c r="G38" s="7">
        <v>1</v>
      </c>
      <c r="H38" s="7">
        <v>1</v>
      </c>
      <c r="I38" s="7">
        <v>0</v>
      </c>
      <c r="J38" s="7">
        <v>0</v>
      </c>
      <c r="K38" s="7">
        <v>0.5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1</v>
      </c>
      <c r="W38" s="7">
        <f t="shared" si="2"/>
        <v>4.5</v>
      </c>
      <c r="X38" s="8">
        <f t="shared" si="3"/>
        <v>3.25</v>
      </c>
    </row>
    <row r="39" spans="1:24" ht="15.5" x14ac:dyDescent="0.35">
      <c r="A39" s="3" t="s">
        <v>48</v>
      </c>
      <c r="B39" s="9" t="s">
        <v>174</v>
      </c>
      <c r="C39" s="3" t="s">
        <v>237</v>
      </c>
      <c r="D39" s="3">
        <v>2</v>
      </c>
      <c r="E39" s="7">
        <v>1</v>
      </c>
      <c r="F39" s="7"/>
      <c r="G39" s="7">
        <v>1</v>
      </c>
      <c r="H39" s="7">
        <v>1</v>
      </c>
      <c r="I39" s="7"/>
      <c r="J39" s="7"/>
      <c r="K39" s="7">
        <v>1</v>
      </c>
      <c r="L39" s="7">
        <v>1</v>
      </c>
      <c r="M39" s="7">
        <v>1</v>
      </c>
      <c r="N39" s="7">
        <v>1</v>
      </c>
      <c r="O39" s="7"/>
      <c r="P39" s="7"/>
      <c r="Q39" s="7"/>
      <c r="R39" s="7"/>
      <c r="S39" s="7">
        <v>1</v>
      </c>
      <c r="T39" s="7"/>
      <c r="U39" s="7"/>
      <c r="V39" s="7">
        <v>1</v>
      </c>
      <c r="W39" s="7">
        <f t="shared" si="2"/>
        <v>9</v>
      </c>
      <c r="X39" s="8">
        <f t="shared" si="3"/>
        <v>5.5</v>
      </c>
    </row>
    <row r="40" spans="1:24" ht="15.5" x14ac:dyDescent="0.35">
      <c r="A40" s="3" t="s">
        <v>65</v>
      </c>
      <c r="B40" s="9" t="s">
        <v>175</v>
      </c>
      <c r="C40" s="3" t="s">
        <v>234</v>
      </c>
      <c r="D40" s="3">
        <v>1</v>
      </c>
      <c r="E40" s="7">
        <v>0.5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0.5</v>
      </c>
      <c r="M40" s="7">
        <v>1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f t="shared" si="2"/>
        <v>4</v>
      </c>
      <c r="X40" s="8">
        <f t="shared" si="3"/>
        <v>3</v>
      </c>
    </row>
    <row r="41" spans="1:24" ht="15.5" x14ac:dyDescent="0.35">
      <c r="A41" s="3" t="s">
        <v>117</v>
      </c>
      <c r="B41" s="9" t="s">
        <v>176</v>
      </c>
      <c r="C41" s="3" t="s">
        <v>234</v>
      </c>
      <c r="D41" s="3">
        <v>1</v>
      </c>
      <c r="E41" s="7">
        <v>1</v>
      </c>
      <c r="F41" s="7">
        <v>0</v>
      </c>
      <c r="G41" s="7">
        <v>1</v>
      </c>
      <c r="H41" s="7">
        <v>1</v>
      </c>
      <c r="I41" s="7">
        <v>0</v>
      </c>
      <c r="J41" s="7">
        <v>0</v>
      </c>
      <c r="K41" s="7">
        <v>1</v>
      </c>
      <c r="L41" s="7">
        <v>1</v>
      </c>
      <c r="M41" s="7">
        <v>1</v>
      </c>
      <c r="N41" s="7">
        <v>1</v>
      </c>
      <c r="O41" s="7">
        <v>0.5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0</v>
      </c>
      <c r="V41" s="7">
        <v>1</v>
      </c>
      <c r="W41" s="7">
        <f t="shared" si="2"/>
        <v>13.5</v>
      </c>
      <c r="X41" s="8">
        <f t="shared" si="3"/>
        <v>7.75</v>
      </c>
    </row>
    <row r="42" spans="1:24" ht="15.5" x14ac:dyDescent="0.35">
      <c r="A42" s="3" t="s">
        <v>94</v>
      </c>
      <c r="B42" s="9" t="s">
        <v>177</v>
      </c>
      <c r="C42" s="3" t="s">
        <v>235</v>
      </c>
      <c r="D42" s="3">
        <v>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f t="shared" si="2"/>
        <v>0</v>
      </c>
      <c r="X42" s="8">
        <f t="shared" si="3"/>
        <v>1</v>
      </c>
    </row>
    <row r="43" spans="1:24" ht="15.5" x14ac:dyDescent="0.35">
      <c r="A43" s="3" t="s">
        <v>116</v>
      </c>
      <c r="B43" s="9" t="s">
        <v>178</v>
      </c>
      <c r="C43" s="3" t="s">
        <v>234</v>
      </c>
      <c r="D43" s="3">
        <v>1</v>
      </c>
      <c r="E43" s="7">
        <v>0</v>
      </c>
      <c r="F43" s="7">
        <v>0</v>
      </c>
      <c r="G43" s="7">
        <v>1</v>
      </c>
      <c r="H43" s="7">
        <v>1</v>
      </c>
      <c r="I43" s="7">
        <v>1</v>
      </c>
      <c r="J43" s="7">
        <v>0</v>
      </c>
      <c r="K43" s="7">
        <v>1</v>
      </c>
      <c r="L43" s="7">
        <v>0</v>
      </c>
      <c r="M43" s="7">
        <v>0</v>
      </c>
      <c r="N43" s="7">
        <v>0</v>
      </c>
      <c r="O43" s="7">
        <v>0.5</v>
      </c>
      <c r="P43" s="7">
        <v>1</v>
      </c>
      <c r="Q43" s="7">
        <v>0</v>
      </c>
      <c r="R43" s="7">
        <v>0</v>
      </c>
      <c r="S43" s="7">
        <v>1</v>
      </c>
      <c r="T43" s="7">
        <v>0</v>
      </c>
      <c r="U43" s="7">
        <v>0</v>
      </c>
      <c r="V43" s="7">
        <v>1</v>
      </c>
      <c r="W43" s="7">
        <f t="shared" si="2"/>
        <v>7.5</v>
      </c>
      <c r="X43" s="8">
        <f t="shared" si="3"/>
        <v>4.75</v>
      </c>
    </row>
    <row r="44" spans="1:24" ht="15.5" x14ac:dyDescent="0.35">
      <c r="A44" s="3" t="s">
        <v>81</v>
      </c>
      <c r="B44" s="9" t="s">
        <v>179</v>
      </c>
      <c r="C44" s="3" t="s">
        <v>236</v>
      </c>
      <c r="D44" s="3">
        <v>2</v>
      </c>
      <c r="E44" s="7">
        <v>0</v>
      </c>
      <c r="F44" s="7">
        <v>0</v>
      </c>
      <c r="G44" s="7">
        <v>1</v>
      </c>
      <c r="H44" s="7">
        <v>1</v>
      </c>
      <c r="I44" s="7">
        <v>0</v>
      </c>
      <c r="J44" s="7">
        <v>0</v>
      </c>
      <c r="K44" s="7">
        <v>1</v>
      </c>
      <c r="L44" s="7">
        <v>0</v>
      </c>
      <c r="M44" s="7">
        <v>1</v>
      </c>
      <c r="N44" s="7">
        <v>1</v>
      </c>
      <c r="O44" s="7">
        <v>1</v>
      </c>
      <c r="P44" s="7">
        <v>0</v>
      </c>
      <c r="Q44" s="7">
        <v>1</v>
      </c>
      <c r="R44" s="7">
        <v>1</v>
      </c>
      <c r="S44" s="7">
        <v>1</v>
      </c>
      <c r="T44" s="7">
        <v>0</v>
      </c>
      <c r="U44" s="7">
        <v>0</v>
      </c>
      <c r="V44" s="7">
        <v>0</v>
      </c>
      <c r="W44" s="7">
        <f t="shared" si="2"/>
        <v>9</v>
      </c>
      <c r="X44" s="8">
        <f t="shared" si="3"/>
        <v>5.5</v>
      </c>
    </row>
    <row r="45" spans="1:24" ht="15.5" x14ac:dyDescent="0.35">
      <c r="A45" s="3" t="s">
        <v>107</v>
      </c>
      <c r="B45" s="9" t="s">
        <v>180</v>
      </c>
      <c r="C45" s="3" t="s">
        <v>235</v>
      </c>
      <c r="D45" s="3">
        <v>1</v>
      </c>
      <c r="E45" s="7">
        <v>1</v>
      </c>
      <c r="F45" s="7"/>
      <c r="G45" s="7"/>
      <c r="H45" s="7">
        <v>1</v>
      </c>
      <c r="I45" s="7"/>
      <c r="J45" s="7"/>
      <c r="K45" s="7">
        <v>1</v>
      </c>
      <c r="L45" s="7">
        <v>1</v>
      </c>
      <c r="M45" s="7">
        <v>1</v>
      </c>
      <c r="N45" s="7"/>
      <c r="O45" s="7"/>
      <c r="P45" s="7">
        <v>1</v>
      </c>
      <c r="Q45" s="7">
        <v>1</v>
      </c>
      <c r="R45" s="7"/>
      <c r="S45" s="7">
        <v>1</v>
      </c>
      <c r="T45" s="7"/>
      <c r="U45" s="7"/>
      <c r="V45" s="7"/>
      <c r="W45" s="7">
        <f t="shared" si="2"/>
        <v>8</v>
      </c>
      <c r="X45" s="8">
        <f t="shared" si="3"/>
        <v>5</v>
      </c>
    </row>
    <row r="46" spans="1:24" ht="15.5" x14ac:dyDescent="0.35">
      <c r="A46" s="3" t="s">
        <v>120</v>
      </c>
      <c r="B46" s="9" t="s">
        <v>181</v>
      </c>
      <c r="C46" s="3" t="s">
        <v>234</v>
      </c>
      <c r="D46" s="3">
        <v>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>
        <f t="shared" si="2"/>
        <v>0</v>
      </c>
      <c r="X46" s="8">
        <f t="shared" si="3"/>
        <v>1</v>
      </c>
    </row>
    <row r="47" spans="1:24" ht="15.5" x14ac:dyDescent="0.35">
      <c r="A47" s="3" t="s">
        <v>61</v>
      </c>
      <c r="B47" s="9" t="s">
        <v>19</v>
      </c>
      <c r="C47" s="3" t="s">
        <v>238</v>
      </c>
      <c r="D47" s="3" t="s">
        <v>14</v>
      </c>
      <c r="E47" s="7">
        <v>0</v>
      </c>
      <c r="F47" s="7">
        <v>1</v>
      </c>
      <c r="G47" s="7">
        <v>1</v>
      </c>
      <c r="H47" s="7">
        <v>1</v>
      </c>
      <c r="I47" s="7">
        <v>0.5</v>
      </c>
      <c r="J47" s="7">
        <v>0.5</v>
      </c>
      <c r="K47" s="7">
        <v>1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  <c r="W47" s="7">
        <f t="shared" si="2"/>
        <v>7</v>
      </c>
      <c r="X47" s="8">
        <f t="shared" si="3"/>
        <v>4.5</v>
      </c>
    </row>
    <row r="48" spans="1:24" ht="15.5" x14ac:dyDescent="0.35">
      <c r="A48" s="3" t="s">
        <v>35</v>
      </c>
      <c r="B48" s="9" t="s">
        <v>9</v>
      </c>
      <c r="C48" s="3" t="s">
        <v>235</v>
      </c>
      <c r="D48" s="3">
        <v>1</v>
      </c>
      <c r="E48" s="7">
        <v>1</v>
      </c>
      <c r="F48" s="7">
        <v>1</v>
      </c>
      <c r="G48" s="7">
        <v>1</v>
      </c>
      <c r="H48" s="7">
        <v>1</v>
      </c>
      <c r="I48" s="7"/>
      <c r="J48" s="7">
        <v>1</v>
      </c>
      <c r="K48" s="7"/>
      <c r="L48" s="7">
        <v>1</v>
      </c>
      <c r="M48" s="7"/>
      <c r="N48" s="7">
        <v>1</v>
      </c>
      <c r="O48" s="7"/>
      <c r="P48" s="7">
        <v>1</v>
      </c>
      <c r="Q48" s="7">
        <v>1</v>
      </c>
      <c r="R48" s="7"/>
      <c r="S48" s="7">
        <v>1</v>
      </c>
      <c r="T48" s="7"/>
      <c r="U48" s="7"/>
      <c r="V48" s="7"/>
      <c r="W48" s="7">
        <f t="shared" si="2"/>
        <v>10</v>
      </c>
      <c r="X48" s="8">
        <f t="shared" si="3"/>
        <v>6</v>
      </c>
    </row>
    <row r="49" spans="1:24" ht="15.5" x14ac:dyDescent="0.35">
      <c r="A49" s="3" t="s">
        <v>73</v>
      </c>
      <c r="B49" s="9" t="s">
        <v>182</v>
      </c>
      <c r="C49" s="3" t="s">
        <v>237</v>
      </c>
      <c r="D49" s="3">
        <v>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>
        <f t="shared" si="2"/>
        <v>0</v>
      </c>
      <c r="X49" s="8">
        <f t="shared" si="3"/>
        <v>1</v>
      </c>
    </row>
    <row r="50" spans="1:24" ht="15.5" x14ac:dyDescent="0.35">
      <c r="A50" s="3" t="s">
        <v>135</v>
      </c>
      <c r="B50" s="9" t="s">
        <v>183</v>
      </c>
      <c r="C50" s="3" t="s">
        <v>236</v>
      </c>
      <c r="D50" s="3">
        <v>2</v>
      </c>
      <c r="E50" s="7">
        <v>0</v>
      </c>
      <c r="F50" s="7">
        <v>0</v>
      </c>
      <c r="G50" s="7">
        <v>1</v>
      </c>
      <c r="H50" s="7">
        <v>1</v>
      </c>
      <c r="I50" s="7">
        <v>0</v>
      </c>
      <c r="J50" s="7">
        <v>1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1</v>
      </c>
      <c r="W50" s="7">
        <f t="shared" si="2"/>
        <v>6</v>
      </c>
      <c r="X50" s="8">
        <f t="shared" si="3"/>
        <v>4</v>
      </c>
    </row>
    <row r="51" spans="1:24" ht="15.5" x14ac:dyDescent="0.35">
      <c r="A51" s="3" t="s">
        <v>38</v>
      </c>
      <c r="B51" s="9" t="s">
        <v>184</v>
      </c>
      <c r="C51" s="3" t="s">
        <v>235</v>
      </c>
      <c r="D51" s="3">
        <v>1</v>
      </c>
      <c r="E51" s="7"/>
      <c r="F51" s="7"/>
      <c r="G51" s="7"/>
      <c r="H51" s="7">
        <v>1</v>
      </c>
      <c r="I51" s="7"/>
      <c r="J51" s="7">
        <v>1</v>
      </c>
      <c r="K51" s="7">
        <v>1</v>
      </c>
      <c r="L51" s="7">
        <v>1</v>
      </c>
      <c r="M51" s="7"/>
      <c r="N51" s="7">
        <v>1</v>
      </c>
      <c r="O51" s="7">
        <v>1</v>
      </c>
      <c r="P51" s="7">
        <v>1</v>
      </c>
      <c r="Q51" s="7"/>
      <c r="R51" s="7"/>
      <c r="S51" s="7">
        <v>1</v>
      </c>
      <c r="T51" s="7"/>
      <c r="U51" s="7">
        <v>1</v>
      </c>
      <c r="V51" s="7">
        <v>1</v>
      </c>
      <c r="W51" s="7">
        <f t="shared" si="2"/>
        <v>10</v>
      </c>
      <c r="X51" s="8">
        <f t="shared" si="3"/>
        <v>6</v>
      </c>
    </row>
    <row r="52" spans="1:24" ht="15.5" x14ac:dyDescent="0.35">
      <c r="A52" s="3" t="s">
        <v>118</v>
      </c>
      <c r="B52" s="9" t="s">
        <v>185</v>
      </c>
      <c r="C52" s="3" t="s">
        <v>234</v>
      </c>
      <c r="D52" s="3">
        <v>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>
        <f t="shared" si="2"/>
        <v>0</v>
      </c>
      <c r="X52" s="8">
        <f t="shared" si="3"/>
        <v>1</v>
      </c>
    </row>
    <row r="53" spans="1:24" ht="15.5" x14ac:dyDescent="0.35">
      <c r="A53" s="3" t="s">
        <v>77</v>
      </c>
      <c r="B53" s="9" t="s">
        <v>186</v>
      </c>
      <c r="C53" s="3" t="s">
        <v>238</v>
      </c>
      <c r="D53" s="3" t="s">
        <v>14</v>
      </c>
      <c r="E53" s="7">
        <v>1</v>
      </c>
      <c r="F53" s="7"/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/>
      <c r="P53" s="7"/>
      <c r="Q53" s="7">
        <v>1</v>
      </c>
      <c r="R53" s="7"/>
      <c r="S53" s="7">
        <v>1</v>
      </c>
      <c r="T53" s="7">
        <v>1</v>
      </c>
      <c r="U53" s="7"/>
      <c r="V53" s="7">
        <v>1</v>
      </c>
      <c r="W53" s="7">
        <f t="shared" si="2"/>
        <v>13</v>
      </c>
      <c r="X53" s="8">
        <f t="shared" si="3"/>
        <v>7.5</v>
      </c>
    </row>
    <row r="54" spans="1:24" ht="15.5" x14ac:dyDescent="0.35">
      <c r="A54" s="3" t="s">
        <v>67</v>
      </c>
      <c r="B54" s="9" t="s">
        <v>187</v>
      </c>
      <c r="C54" s="3" t="s">
        <v>236</v>
      </c>
      <c r="D54" s="3">
        <v>2</v>
      </c>
      <c r="E54" s="7">
        <v>0</v>
      </c>
      <c r="F54" s="7">
        <v>0</v>
      </c>
      <c r="G54" s="7">
        <v>1</v>
      </c>
      <c r="H54" s="7">
        <v>1</v>
      </c>
      <c r="I54" s="7">
        <v>0</v>
      </c>
      <c r="J54" s="7">
        <v>0</v>
      </c>
      <c r="K54" s="7">
        <v>0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f t="shared" si="2"/>
        <v>3</v>
      </c>
      <c r="X54" s="8">
        <f t="shared" si="3"/>
        <v>2.5</v>
      </c>
    </row>
    <row r="55" spans="1:24" ht="15.5" x14ac:dyDescent="0.35">
      <c r="A55" s="3" t="s">
        <v>56</v>
      </c>
      <c r="B55" s="9" t="s">
        <v>21</v>
      </c>
      <c r="C55" s="3" t="s">
        <v>237</v>
      </c>
      <c r="D55" s="3">
        <v>2</v>
      </c>
      <c r="E55" s="7"/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/>
      <c r="N55" s="7">
        <v>1</v>
      </c>
      <c r="O55" s="7">
        <v>1</v>
      </c>
      <c r="P55" s="7">
        <v>1</v>
      </c>
      <c r="Q55" s="7">
        <v>1</v>
      </c>
      <c r="R55" s="7"/>
      <c r="S55" s="7"/>
      <c r="T55" s="7">
        <v>1</v>
      </c>
      <c r="U55" s="7">
        <v>1</v>
      </c>
      <c r="V55" s="7">
        <v>1</v>
      </c>
      <c r="W55" s="7">
        <f t="shared" si="2"/>
        <v>14</v>
      </c>
      <c r="X55" s="8">
        <f t="shared" si="3"/>
        <v>8</v>
      </c>
    </row>
    <row r="56" spans="1:24" ht="15.5" x14ac:dyDescent="0.35">
      <c r="A56" s="3" t="s">
        <v>47</v>
      </c>
      <c r="B56" s="9" t="s">
        <v>188</v>
      </c>
      <c r="C56" s="3" t="s">
        <v>235</v>
      </c>
      <c r="D56" s="3">
        <v>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f t="shared" si="2"/>
        <v>0</v>
      </c>
      <c r="X56" s="8">
        <f t="shared" si="3"/>
        <v>1</v>
      </c>
    </row>
    <row r="57" spans="1:24" ht="15.5" x14ac:dyDescent="0.35">
      <c r="A57" s="3" t="s">
        <v>99</v>
      </c>
      <c r="B57" s="9" t="s">
        <v>189</v>
      </c>
      <c r="C57" s="3" t="s">
        <v>235</v>
      </c>
      <c r="D57" s="3">
        <v>1</v>
      </c>
      <c r="E57" s="7"/>
      <c r="F57" s="7"/>
      <c r="G57" s="7"/>
      <c r="H57" s="7">
        <v>1</v>
      </c>
      <c r="I57" s="7">
        <v>0.5</v>
      </c>
      <c r="J57" s="7"/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/>
      <c r="Q57" s="7"/>
      <c r="R57" s="7"/>
      <c r="S57" s="7">
        <v>1</v>
      </c>
      <c r="T57" s="7">
        <v>0</v>
      </c>
      <c r="U57" s="7"/>
      <c r="V57" s="7"/>
      <c r="W57" s="7">
        <f t="shared" si="2"/>
        <v>7.5</v>
      </c>
      <c r="X57" s="8">
        <f t="shared" si="3"/>
        <v>4.75</v>
      </c>
    </row>
    <row r="58" spans="1:24" ht="15.5" x14ac:dyDescent="0.35">
      <c r="A58" s="3" t="s">
        <v>123</v>
      </c>
      <c r="B58" s="9" t="s">
        <v>190</v>
      </c>
      <c r="C58" s="3" t="s">
        <v>235</v>
      </c>
      <c r="D58" s="3">
        <v>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>
        <f t="shared" si="2"/>
        <v>0</v>
      </c>
      <c r="X58" s="8">
        <f t="shared" si="3"/>
        <v>1</v>
      </c>
    </row>
    <row r="59" spans="1:24" ht="15.5" x14ac:dyDescent="0.35">
      <c r="A59" s="3" t="s">
        <v>88</v>
      </c>
      <c r="B59" s="9" t="s">
        <v>191</v>
      </c>
      <c r="C59" s="3" t="s">
        <v>235</v>
      </c>
      <c r="D59" s="3">
        <v>1</v>
      </c>
      <c r="E59" s="7"/>
      <c r="F59" s="7"/>
      <c r="G59" s="7">
        <v>1</v>
      </c>
      <c r="H59" s="7">
        <v>1</v>
      </c>
      <c r="I59" s="7"/>
      <c r="J59" s="7"/>
      <c r="K59" s="7"/>
      <c r="L59" s="7">
        <v>1</v>
      </c>
      <c r="M59" s="7"/>
      <c r="N59" s="7"/>
      <c r="O59" s="7"/>
      <c r="P59" s="7">
        <v>1</v>
      </c>
      <c r="Q59" s="7">
        <v>1</v>
      </c>
      <c r="R59" s="7"/>
      <c r="S59" s="7"/>
      <c r="T59" s="7"/>
      <c r="U59" s="7"/>
      <c r="V59" s="7"/>
      <c r="W59" s="7">
        <f t="shared" si="2"/>
        <v>5</v>
      </c>
      <c r="X59" s="8">
        <f t="shared" si="3"/>
        <v>3.5</v>
      </c>
    </row>
    <row r="60" spans="1:24" ht="15.5" x14ac:dyDescent="0.35">
      <c r="A60" s="3" t="s">
        <v>53</v>
      </c>
      <c r="B60" s="9" t="s">
        <v>192</v>
      </c>
      <c r="C60" s="3" t="s">
        <v>235</v>
      </c>
      <c r="D60" s="3">
        <v>1</v>
      </c>
      <c r="E60" s="7">
        <v>1</v>
      </c>
      <c r="F60" s="7"/>
      <c r="G60" s="7"/>
      <c r="H60" s="7">
        <v>1</v>
      </c>
      <c r="I60" s="7">
        <v>0.5</v>
      </c>
      <c r="J60" s="7"/>
      <c r="K60" s="7"/>
      <c r="L60" s="7">
        <v>1</v>
      </c>
      <c r="M60" s="7"/>
      <c r="N60" s="7"/>
      <c r="O60" s="7"/>
      <c r="P60" s="7"/>
      <c r="Q60" s="7">
        <v>1</v>
      </c>
      <c r="R60" s="7"/>
      <c r="S60" s="7"/>
      <c r="T60" s="7"/>
      <c r="U60" s="7"/>
      <c r="V60" s="7"/>
      <c r="W60" s="7">
        <f t="shared" si="2"/>
        <v>4.5</v>
      </c>
      <c r="X60" s="8">
        <f t="shared" si="3"/>
        <v>3.25</v>
      </c>
    </row>
    <row r="61" spans="1:24" ht="15.5" x14ac:dyDescent="0.35">
      <c r="A61" s="3" t="s">
        <v>42</v>
      </c>
      <c r="B61" s="9" t="s">
        <v>193</v>
      </c>
      <c r="C61" s="3" t="s">
        <v>234</v>
      </c>
      <c r="D61" s="3">
        <v>1</v>
      </c>
      <c r="E61" s="7">
        <v>1</v>
      </c>
      <c r="F61" s="7">
        <v>0</v>
      </c>
      <c r="G61" s="7">
        <v>1</v>
      </c>
      <c r="H61" s="7">
        <v>1</v>
      </c>
      <c r="I61" s="7">
        <v>0</v>
      </c>
      <c r="J61" s="7">
        <v>0</v>
      </c>
      <c r="K61" s="7">
        <v>1</v>
      </c>
      <c r="L61" s="7">
        <v>1</v>
      </c>
      <c r="M61" s="7">
        <v>1</v>
      </c>
      <c r="N61" s="7">
        <v>0</v>
      </c>
      <c r="O61" s="7">
        <v>0</v>
      </c>
      <c r="P61" s="7">
        <v>0</v>
      </c>
      <c r="Q61" s="7">
        <v>1</v>
      </c>
      <c r="R61" s="7">
        <v>0</v>
      </c>
      <c r="S61" s="7">
        <v>1</v>
      </c>
      <c r="T61" s="7">
        <v>1</v>
      </c>
      <c r="U61" s="7">
        <v>0</v>
      </c>
      <c r="V61" s="7">
        <v>1</v>
      </c>
      <c r="W61" s="7">
        <f t="shared" si="2"/>
        <v>10</v>
      </c>
      <c r="X61" s="8">
        <f t="shared" si="3"/>
        <v>6</v>
      </c>
    </row>
    <row r="62" spans="1:24" ht="15.5" x14ac:dyDescent="0.35">
      <c r="A62" s="3" t="s">
        <v>134</v>
      </c>
      <c r="B62" s="9" t="s">
        <v>194</v>
      </c>
      <c r="C62" s="3" t="s">
        <v>234</v>
      </c>
      <c r="D62" s="3">
        <v>1</v>
      </c>
      <c r="E62" s="7">
        <v>1</v>
      </c>
      <c r="F62" s="7">
        <v>0</v>
      </c>
      <c r="G62" s="7">
        <v>1</v>
      </c>
      <c r="H62" s="7">
        <v>1</v>
      </c>
      <c r="I62" s="7">
        <v>0</v>
      </c>
      <c r="J62" s="7">
        <v>0</v>
      </c>
      <c r="K62" s="7">
        <v>1</v>
      </c>
      <c r="L62" s="7">
        <v>1</v>
      </c>
      <c r="M62" s="7">
        <v>1</v>
      </c>
      <c r="N62" s="7">
        <v>1</v>
      </c>
      <c r="O62" s="7">
        <v>0</v>
      </c>
      <c r="P62" s="7">
        <v>1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1</v>
      </c>
      <c r="W62" s="7">
        <f t="shared" si="2"/>
        <v>10</v>
      </c>
      <c r="X62" s="8">
        <f t="shared" si="3"/>
        <v>6</v>
      </c>
    </row>
    <row r="63" spans="1:24" ht="15.5" x14ac:dyDescent="0.35">
      <c r="A63" s="3" t="s">
        <v>49</v>
      </c>
      <c r="B63" s="9" t="s">
        <v>195</v>
      </c>
      <c r="C63" s="3" t="s">
        <v>236</v>
      </c>
      <c r="D63" s="3">
        <v>2</v>
      </c>
      <c r="E63" s="7">
        <v>0</v>
      </c>
      <c r="F63" s="7">
        <v>0</v>
      </c>
      <c r="G63" s="7">
        <v>0</v>
      </c>
      <c r="H63" s="7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f t="shared" si="2"/>
        <v>3</v>
      </c>
      <c r="X63" s="8">
        <f t="shared" si="3"/>
        <v>2.5</v>
      </c>
    </row>
    <row r="64" spans="1:24" ht="15.5" x14ac:dyDescent="0.35">
      <c r="A64" s="3" t="s">
        <v>112</v>
      </c>
      <c r="B64" s="9" t="s">
        <v>145</v>
      </c>
      <c r="C64" s="3" t="s">
        <v>234</v>
      </c>
      <c r="D64" s="3">
        <v>1</v>
      </c>
      <c r="E64" s="7">
        <v>0</v>
      </c>
      <c r="F64" s="7">
        <v>0</v>
      </c>
      <c r="G64" s="7">
        <v>0.5</v>
      </c>
      <c r="H64" s="7">
        <v>1</v>
      </c>
      <c r="I64" s="7">
        <v>0.5</v>
      </c>
      <c r="J64" s="7">
        <v>0</v>
      </c>
      <c r="K64" s="7">
        <v>1</v>
      </c>
      <c r="L64" s="7">
        <v>0</v>
      </c>
      <c r="M64" s="7">
        <v>0.5</v>
      </c>
      <c r="N64" s="7">
        <v>0</v>
      </c>
      <c r="O64" s="7">
        <v>0</v>
      </c>
      <c r="P64" s="7">
        <v>1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f t="shared" si="2"/>
        <v>4.5</v>
      </c>
      <c r="X64" s="8">
        <f t="shared" si="3"/>
        <v>3.25</v>
      </c>
    </row>
    <row r="65" spans="1:24" ht="15.5" x14ac:dyDescent="0.35">
      <c r="A65" s="3" t="s">
        <v>96</v>
      </c>
      <c r="B65" s="9" t="s">
        <v>196</v>
      </c>
      <c r="C65" s="3" t="s">
        <v>238</v>
      </c>
      <c r="D65" s="3" t="s">
        <v>14</v>
      </c>
      <c r="E65" s="7"/>
      <c r="F65" s="7">
        <v>1</v>
      </c>
      <c r="G65" s="7">
        <v>1</v>
      </c>
      <c r="H65" s="7">
        <v>1</v>
      </c>
      <c r="I65" s="7"/>
      <c r="J65" s="7"/>
      <c r="K65" s="7">
        <v>1</v>
      </c>
      <c r="L65" s="7">
        <v>1</v>
      </c>
      <c r="M65" s="7"/>
      <c r="N65" s="7">
        <v>1</v>
      </c>
      <c r="O65" s="7">
        <v>1</v>
      </c>
      <c r="P65" s="7"/>
      <c r="Q65" s="7"/>
      <c r="R65" s="7"/>
      <c r="S65" s="7">
        <v>1</v>
      </c>
      <c r="T65" s="7">
        <v>1</v>
      </c>
      <c r="U65" s="7"/>
      <c r="V65" s="7">
        <v>1</v>
      </c>
      <c r="W65" s="7">
        <f t="shared" si="2"/>
        <v>10</v>
      </c>
      <c r="X65" s="8">
        <f t="shared" si="3"/>
        <v>6</v>
      </c>
    </row>
    <row r="66" spans="1:24" ht="15.5" x14ac:dyDescent="0.35">
      <c r="A66" s="3" t="s">
        <v>93</v>
      </c>
      <c r="B66" s="9" t="s">
        <v>197</v>
      </c>
      <c r="C66" s="3" t="s">
        <v>237</v>
      </c>
      <c r="D66" s="3">
        <v>2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>
        <v>1</v>
      </c>
      <c r="Q66" s="7">
        <v>1</v>
      </c>
      <c r="R66" s="7"/>
      <c r="S66" s="7"/>
      <c r="T66" s="7"/>
      <c r="U66" s="7"/>
      <c r="V66" s="7"/>
      <c r="W66" s="7">
        <f t="shared" si="2"/>
        <v>2</v>
      </c>
      <c r="X66" s="8">
        <f t="shared" si="3"/>
        <v>2</v>
      </c>
    </row>
    <row r="67" spans="1:24" ht="15.5" x14ac:dyDescent="0.35">
      <c r="A67" s="3" t="s">
        <v>79</v>
      </c>
      <c r="B67" s="9" t="s">
        <v>198</v>
      </c>
      <c r="C67" s="3" t="s">
        <v>235</v>
      </c>
      <c r="D67" s="3">
        <v>1</v>
      </c>
      <c r="E67" s="7">
        <v>1</v>
      </c>
      <c r="F67" s="7"/>
      <c r="G67" s="7"/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/>
      <c r="P67" s="7"/>
      <c r="Q67" s="7">
        <v>1</v>
      </c>
      <c r="R67" s="7"/>
      <c r="S67" s="7">
        <v>1</v>
      </c>
      <c r="T67" s="7"/>
      <c r="U67" s="7"/>
      <c r="V67" s="7">
        <v>1</v>
      </c>
      <c r="W67" s="7">
        <f t="shared" ref="W67:W98" si="4">SUM(E67:V67)</f>
        <v>11</v>
      </c>
      <c r="X67" s="8">
        <f t="shared" ref="X67:X98" si="5">1+W67/18*9</f>
        <v>6.5</v>
      </c>
    </row>
    <row r="68" spans="1:24" ht="15.5" x14ac:dyDescent="0.35">
      <c r="A68" s="3" t="s">
        <v>136</v>
      </c>
      <c r="B68" s="9" t="s">
        <v>199</v>
      </c>
      <c r="C68" s="3" t="s">
        <v>234</v>
      </c>
      <c r="D68" s="3">
        <v>1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>
        <f t="shared" si="4"/>
        <v>0</v>
      </c>
      <c r="X68" s="8">
        <f t="shared" si="5"/>
        <v>1</v>
      </c>
    </row>
    <row r="69" spans="1:24" ht="15.5" x14ac:dyDescent="0.35">
      <c r="A69" s="3" t="s">
        <v>71</v>
      </c>
      <c r="B69" s="9" t="s">
        <v>200</v>
      </c>
      <c r="C69" s="3" t="s">
        <v>236</v>
      </c>
      <c r="D69" s="3">
        <v>2</v>
      </c>
      <c r="E69" s="7">
        <v>1</v>
      </c>
      <c r="F69" s="7">
        <v>0</v>
      </c>
      <c r="G69" s="7">
        <v>0</v>
      </c>
      <c r="H69" s="7">
        <v>1</v>
      </c>
      <c r="I69" s="7">
        <v>0</v>
      </c>
      <c r="J69" s="7">
        <v>0</v>
      </c>
      <c r="K69" s="7">
        <v>1</v>
      </c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1</v>
      </c>
      <c r="T69" s="7">
        <v>0</v>
      </c>
      <c r="U69" s="7">
        <v>1</v>
      </c>
      <c r="V69" s="7">
        <v>0</v>
      </c>
      <c r="W69" s="7">
        <f t="shared" si="4"/>
        <v>8</v>
      </c>
      <c r="X69" s="8">
        <f t="shared" si="5"/>
        <v>5</v>
      </c>
    </row>
    <row r="70" spans="1:24" ht="15.5" x14ac:dyDescent="0.35">
      <c r="A70" s="3" t="s">
        <v>64</v>
      </c>
      <c r="B70" s="9" t="s">
        <v>18</v>
      </c>
      <c r="C70" s="3" t="s">
        <v>237</v>
      </c>
      <c r="D70" s="3">
        <v>1</v>
      </c>
      <c r="E70" s="7"/>
      <c r="F70" s="7"/>
      <c r="G70" s="7"/>
      <c r="H70" s="7">
        <v>1</v>
      </c>
      <c r="I70" s="7">
        <v>1</v>
      </c>
      <c r="J70" s="7"/>
      <c r="K70" s="7">
        <v>1</v>
      </c>
      <c r="L70" s="7">
        <v>1</v>
      </c>
      <c r="M70" s="7">
        <v>1</v>
      </c>
      <c r="N70" s="7"/>
      <c r="O70" s="7">
        <v>1</v>
      </c>
      <c r="P70" s="7"/>
      <c r="Q70" s="7"/>
      <c r="R70" s="7">
        <v>1</v>
      </c>
      <c r="S70" s="7">
        <v>1</v>
      </c>
      <c r="T70" s="7">
        <v>1</v>
      </c>
      <c r="U70" s="7"/>
      <c r="V70" s="7">
        <v>1</v>
      </c>
      <c r="W70" s="7">
        <f t="shared" si="4"/>
        <v>10</v>
      </c>
      <c r="X70" s="8">
        <f t="shared" si="5"/>
        <v>6</v>
      </c>
    </row>
    <row r="71" spans="1:24" ht="15.5" x14ac:dyDescent="0.35">
      <c r="A71" s="3" t="s">
        <v>100</v>
      </c>
      <c r="B71" s="9" t="s">
        <v>201</v>
      </c>
      <c r="C71" s="3" t="s">
        <v>236</v>
      </c>
      <c r="D71" s="3">
        <v>2</v>
      </c>
      <c r="E71" s="7">
        <v>1</v>
      </c>
      <c r="F71" s="7">
        <v>0</v>
      </c>
      <c r="G71" s="7">
        <v>1</v>
      </c>
      <c r="H71" s="7">
        <v>1</v>
      </c>
      <c r="I71" s="7">
        <v>0</v>
      </c>
      <c r="J71" s="7">
        <v>0</v>
      </c>
      <c r="K71" s="7">
        <v>1</v>
      </c>
      <c r="L71" s="7">
        <v>1</v>
      </c>
      <c r="M71" s="7">
        <v>1</v>
      </c>
      <c r="N71" s="7">
        <v>0</v>
      </c>
      <c r="O71" s="7">
        <v>0.5</v>
      </c>
      <c r="P71" s="7">
        <v>0</v>
      </c>
      <c r="Q71" s="7">
        <v>0</v>
      </c>
      <c r="R71" s="7">
        <v>1</v>
      </c>
      <c r="S71" s="7">
        <v>1</v>
      </c>
      <c r="T71" s="7">
        <v>1</v>
      </c>
      <c r="U71" s="7">
        <v>0</v>
      </c>
      <c r="V71" s="7">
        <v>1</v>
      </c>
      <c r="W71" s="7">
        <f t="shared" si="4"/>
        <v>10.5</v>
      </c>
      <c r="X71" s="8">
        <f t="shared" si="5"/>
        <v>6.25</v>
      </c>
    </row>
    <row r="72" spans="1:24" ht="15.5" x14ac:dyDescent="0.35">
      <c r="A72" s="3" t="s">
        <v>82</v>
      </c>
      <c r="B72" s="9" t="s">
        <v>20</v>
      </c>
      <c r="C72" s="3" t="s">
        <v>234</v>
      </c>
      <c r="D72" s="3">
        <v>1</v>
      </c>
      <c r="E72" s="7">
        <v>0</v>
      </c>
      <c r="F72" s="7">
        <v>0</v>
      </c>
      <c r="G72" s="7">
        <v>0.5</v>
      </c>
      <c r="H72" s="7">
        <v>1</v>
      </c>
      <c r="I72" s="7">
        <v>1</v>
      </c>
      <c r="J72" s="7">
        <v>1</v>
      </c>
      <c r="K72" s="7">
        <v>0</v>
      </c>
      <c r="L72" s="7">
        <v>1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1</v>
      </c>
      <c r="T72" s="7">
        <v>0</v>
      </c>
      <c r="U72" s="7">
        <v>0</v>
      </c>
      <c r="V72" s="7">
        <v>0</v>
      </c>
      <c r="W72" s="7">
        <f t="shared" si="4"/>
        <v>5.5</v>
      </c>
      <c r="X72" s="8">
        <f t="shared" si="5"/>
        <v>3.75</v>
      </c>
    </row>
    <row r="73" spans="1:24" ht="15.5" x14ac:dyDescent="0.35">
      <c r="A73" s="3" t="s">
        <v>97</v>
      </c>
      <c r="B73" s="9" t="s">
        <v>202</v>
      </c>
      <c r="C73" s="3" t="s">
        <v>237</v>
      </c>
      <c r="D73" s="3">
        <v>2</v>
      </c>
      <c r="E73" s="7"/>
      <c r="F73" s="7"/>
      <c r="G73" s="7"/>
      <c r="H73" s="7">
        <v>1</v>
      </c>
      <c r="I73" s="7"/>
      <c r="J73" s="7"/>
      <c r="K73" s="7">
        <v>1</v>
      </c>
      <c r="L73" s="7">
        <v>1</v>
      </c>
      <c r="M73" s="7">
        <v>1</v>
      </c>
      <c r="N73" s="7"/>
      <c r="O73" s="7"/>
      <c r="P73" s="7"/>
      <c r="Q73" s="7"/>
      <c r="R73" s="7"/>
      <c r="S73" s="7"/>
      <c r="T73" s="7"/>
      <c r="U73" s="7"/>
      <c r="V73" s="7"/>
      <c r="W73" s="7">
        <f t="shared" si="4"/>
        <v>4</v>
      </c>
      <c r="X73" s="8">
        <f t="shared" si="5"/>
        <v>3</v>
      </c>
    </row>
    <row r="74" spans="1:24" ht="15.5" x14ac:dyDescent="0.35">
      <c r="A74" s="3" t="s">
        <v>129</v>
      </c>
      <c r="B74" s="9" t="s">
        <v>203</v>
      </c>
      <c r="C74" s="3" t="s">
        <v>236</v>
      </c>
      <c r="D74" s="3">
        <v>2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0.5</v>
      </c>
      <c r="S74" s="7">
        <v>0</v>
      </c>
      <c r="T74" s="7">
        <v>0</v>
      </c>
      <c r="U74" s="7">
        <v>0</v>
      </c>
      <c r="V74" s="7">
        <v>0</v>
      </c>
      <c r="W74" s="7">
        <f t="shared" si="4"/>
        <v>1.5</v>
      </c>
      <c r="X74" s="8">
        <f t="shared" si="5"/>
        <v>1.75</v>
      </c>
    </row>
    <row r="75" spans="1:24" ht="15.5" x14ac:dyDescent="0.35">
      <c r="A75" s="3" t="s">
        <v>109</v>
      </c>
      <c r="B75" s="9" t="s">
        <v>143</v>
      </c>
      <c r="C75" s="3" t="s">
        <v>237</v>
      </c>
      <c r="D75" s="3">
        <v>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>
        <f t="shared" si="4"/>
        <v>0</v>
      </c>
      <c r="X75" s="8">
        <f t="shared" si="5"/>
        <v>1</v>
      </c>
    </row>
    <row r="76" spans="1:24" ht="15.5" x14ac:dyDescent="0.35">
      <c r="A76" s="3" t="s">
        <v>113</v>
      </c>
      <c r="B76" s="9" t="s">
        <v>146</v>
      </c>
      <c r="C76" s="3" t="s">
        <v>236</v>
      </c>
      <c r="D76" s="3">
        <v>2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>
        <f t="shared" si="4"/>
        <v>0</v>
      </c>
      <c r="X76" s="8">
        <f t="shared" si="5"/>
        <v>1</v>
      </c>
    </row>
    <row r="77" spans="1:24" ht="15.5" x14ac:dyDescent="0.35">
      <c r="A77" s="3" t="s">
        <v>51</v>
      </c>
      <c r="B77" s="9" t="s">
        <v>204</v>
      </c>
      <c r="C77" s="3" t="s">
        <v>234</v>
      </c>
      <c r="D77" s="3">
        <v>1</v>
      </c>
      <c r="E77" s="7">
        <v>1</v>
      </c>
      <c r="F77" s="7">
        <v>0</v>
      </c>
      <c r="G77" s="7">
        <v>1</v>
      </c>
      <c r="H77" s="7">
        <v>1</v>
      </c>
      <c r="I77" s="7">
        <v>0</v>
      </c>
      <c r="J77" s="7">
        <v>0</v>
      </c>
      <c r="K77" s="7">
        <v>1</v>
      </c>
      <c r="L77" s="7">
        <v>1</v>
      </c>
      <c r="M77" s="7">
        <v>0.5</v>
      </c>
      <c r="N77" s="7">
        <v>0</v>
      </c>
      <c r="O77" s="7">
        <v>0</v>
      </c>
      <c r="P77" s="7">
        <v>0</v>
      </c>
      <c r="Q77" s="7">
        <v>1</v>
      </c>
      <c r="R77" s="7">
        <v>1</v>
      </c>
      <c r="S77" s="7">
        <v>1</v>
      </c>
      <c r="T77" s="7">
        <v>0</v>
      </c>
      <c r="U77" s="7">
        <v>0</v>
      </c>
      <c r="V77" s="7">
        <v>0</v>
      </c>
      <c r="W77" s="7">
        <f t="shared" si="4"/>
        <v>8.5</v>
      </c>
      <c r="X77" s="8">
        <f t="shared" si="5"/>
        <v>5.25</v>
      </c>
    </row>
    <row r="78" spans="1:24" ht="15.5" x14ac:dyDescent="0.35">
      <c r="A78" s="3" t="s">
        <v>108</v>
      </c>
      <c r="B78" s="9" t="s">
        <v>142</v>
      </c>
      <c r="C78" s="3" t="s">
        <v>236</v>
      </c>
      <c r="D78" s="3">
        <v>2</v>
      </c>
      <c r="E78" s="7">
        <v>1</v>
      </c>
      <c r="F78" s="7">
        <v>1</v>
      </c>
      <c r="G78" s="7">
        <v>1</v>
      </c>
      <c r="H78" s="7">
        <v>0.5</v>
      </c>
      <c r="I78" s="7">
        <v>0</v>
      </c>
      <c r="J78" s="7">
        <v>0</v>
      </c>
      <c r="K78" s="7">
        <v>1</v>
      </c>
      <c r="L78" s="7">
        <v>0</v>
      </c>
      <c r="M78" s="7">
        <v>1</v>
      </c>
      <c r="N78" s="7">
        <v>0</v>
      </c>
      <c r="O78" s="7">
        <v>1</v>
      </c>
      <c r="P78" s="7">
        <v>0</v>
      </c>
      <c r="Q78" s="7">
        <v>1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f t="shared" si="4"/>
        <v>7.5</v>
      </c>
      <c r="X78" s="8">
        <f t="shared" si="5"/>
        <v>4.75</v>
      </c>
    </row>
    <row r="79" spans="1:24" ht="15.5" x14ac:dyDescent="0.35">
      <c r="A79" s="3" t="s">
        <v>132</v>
      </c>
      <c r="B79" s="9" t="s">
        <v>205</v>
      </c>
      <c r="C79" s="3" t="s">
        <v>234</v>
      </c>
      <c r="D79" s="3">
        <v>1</v>
      </c>
      <c r="E79" s="7">
        <v>0</v>
      </c>
      <c r="F79" s="7">
        <v>0</v>
      </c>
      <c r="G79" s="7">
        <v>0.5</v>
      </c>
      <c r="H79" s="7">
        <v>1</v>
      </c>
      <c r="I79" s="7">
        <v>0</v>
      </c>
      <c r="J79" s="7">
        <v>0</v>
      </c>
      <c r="K79" s="7">
        <v>1</v>
      </c>
      <c r="L79" s="7">
        <v>0</v>
      </c>
      <c r="M79" s="7">
        <v>1</v>
      </c>
      <c r="N79" s="7">
        <v>0</v>
      </c>
      <c r="O79" s="7">
        <v>0.5</v>
      </c>
      <c r="P79" s="7">
        <v>0</v>
      </c>
      <c r="Q79" s="7">
        <v>1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  <c r="W79" s="7">
        <f t="shared" si="4"/>
        <v>6</v>
      </c>
      <c r="X79" s="8">
        <f t="shared" si="5"/>
        <v>4</v>
      </c>
    </row>
    <row r="80" spans="1:24" ht="15.5" x14ac:dyDescent="0.35">
      <c r="A80" s="3" t="s">
        <v>51</v>
      </c>
      <c r="B80" s="9" t="s">
        <v>206</v>
      </c>
      <c r="C80" s="3" t="s">
        <v>236</v>
      </c>
      <c r="D80" s="3">
        <v>2</v>
      </c>
      <c r="E80" s="7">
        <v>1</v>
      </c>
      <c r="F80" s="7">
        <v>0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0</v>
      </c>
      <c r="R80" s="7">
        <v>1</v>
      </c>
      <c r="S80" s="7">
        <v>1</v>
      </c>
      <c r="T80" s="7">
        <v>1</v>
      </c>
      <c r="U80" s="7">
        <v>0</v>
      </c>
      <c r="V80" s="7">
        <v>1</v>
      </c>
      <c r="W80" s="7">
        <f t="shared" si="4"/>
        <v>15</v>
      </c>
      <c r="X80" s="8">
        <f t="shared" si="5"/>
        <v>8.5</v>
      </c>
    </row>
    <row r="81" spans="1:24" ht="15.5" x14ac:dyDescent="0.35">
      <c r="A81" s="3" t="s">
        <v>76</v>
      </c>
      <c r="B81" s="9" t="s">
        <v>207</v>
      </c>
      <c r="C81" s="3" t="s">
        <v>237</v>
      </c>
      <c r="D81" s="3">
        <v>2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f t="shared" si="4"/>
        <v>0</v>
      </c>
      <c r="X81" s="8">
        <f t="shared" si="5"/>
        <v>1</v>
      </c>
    </row>
    <row r="82" spans="1:24" ht="15.5" x14ac:dyDescent="0.35">
      <c r="A82" s="3" t="s">
        <v>70</v>
      </c>
      <c r="B82" s="9" t="s">
        <v>208</v>
      </c>
      <c r="C82" s="3" t="s">
        <v>236</v>
      </c>
      <c r="D82" s="3">
        <v>2</v>
      </c>
      <c r="E82" s="7">
        <v>0</v>
      </c>
      <c r="F82" s="7">
        <v>0</v>
      </c>
      <c r="G82" s="7">
        <v>1</v>
      </c>
      <c r="H82" s="7">
        <v>1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f t="shared" si="4"/>
        <v>3</v>
      </c>
      <c r="X82" s="8">
        <f t="shared" si="5"/>
        <v>2.5</v>
      </c>
    </row>
    <row r="83" spans="1:24" ht="15.5" x14ac:dyDescent="0.35">
      <c r="A83" s="3" t="s">
        <v>114</v>
      </c>
      <c r="B83" s="10" t="s">
        <v>209</v>
      </c>
      <c r="C83" s="3" t="s">
        <v>235</v>
      </c>
      <c r="D83" s="4">
        <v>1</v>
      </c>
      <c r="E83" s="7"/>
      <c r="F83" s="7"/>
      <c r="G83" s="7"/>
      <c r="H83" s="7"/>
      <c r="I83" s="7"/>
      <c r="J83" s="7"/>
      <c r="K83" s="7"/>
      <c r="L83" s="7"/>
      <c r="M83" s="7">
        <v>1</v>
      </c>
      <c r="N83" s="7"/>
      <c r="O83" s="7"/>
      <c r="P83" s="7"/>
      <c r="Q83" s="7">
        <v>1</v>
      </c>
      <c r="R83" s="7"/>
      <c r="S83" s="7"/>
      <c r="T83" s="7"/>
      <c r="U83" s="7"/>
      <c r="V83" s="7"/>
      <c r="W83" s="7">
        <f t="shared" si="4"/>
        <v>2</v>
      </c>
      <c r="X83" s="8">
        <f t="shared" si="5"/>
        <v>2</v>
      </c>
    </row>
    <row r="84" spans="1:24" ht="15.5" x14ac:dyDescent="0.35">
      <c r="A84" s="3" t="s">
        <v>105</v>
      </c>
      <c r="B84" s="9" t="s">
        <v>210</v>
      </c>
      <c r="C84" s="3" t="s">
        <v>236</v>
      </c>
      <c r="D84" s="3">
        <v>2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>
        <f t="shared" si="4"/>
        <v>0</v>
      </c>
      <c r="X84" s="8">
        <f t="shared" si="5"/>
        <v>1</v>
      </c>
    </row>
    <row r="85" spans="1:24" ht="15.5" x14ac:dyDescent="0.35">
      <c r="A85" s="3" t="s">
        <v>43</v>
      </c>
      <c r="B85" s="9" t="s">
        <v>211</v>
      </c>
      <c r="C85" s="3" t="s">
        <v>234</v>
      </c>
      <c r="D85" s="3">
        <v>1</v>
      </c>
      <c r="E85" s="7">
        <v>0</v>
      </c>
      <c r="F85" s="7">
        <v>0</v>
      </c>
      <c r="G85" s="7">
        <v>1</v>
      </c>
      <c r="H85" s="7">
        <v>1</v>
      </c>
      <c r="I85" s="7">
        <v>0</v>
      </c>
      <c r="J85" s="7">
        <v>0</v>
      </c>
      <c r="K85" s="7">
        <v>1</v>
      </c>
      <c r="L85" s="7">
        <v>1</v>
      </c>
      <c r="M85" s="7">
        <v>0.5</v>
      </c>
      <c r="N85" s="7">
        <v>1</v>
      </c>
      <c r="O85" s="7">
        <v>0</v>
      </c>
      <c r="P85" s="7">
        <v>0</v>
      </c>
      <c r="Q85" s="7">
        <v>1</v>
      </c>
      <c r="R85" s="7">
        <v>0</v>
      </c>
      <c r="S85" s="7">
        <v>0</v>
      </c>
      <c r="T85" s="7">
        <v>1</v>
      </c>
      <c r="U85" s="7">
        <v>0</v>
      </c>
      <c r="V85" s="7">
        <v>1</v>
      </c>
      <c r="W85" s="7">
        <f t="shared" si="4"/>
        <v>8.5</v>
      </c>
      <c r="X85" s="8">
        <f t="shared" si="5"/>
        <v>5.25</v>
      </c>
    </row>
    <row r="86" spans="1:24" ht="15.5" x14ac:dyDescent="0.35">
      <c r="A86" s="3" t="s">
        <v>74</v>
      </c>
      <c r="B86" s="9" t="s">
        <v>212</v>
      </c>
      <c r="C86" s="3" t="s">
        <v>236</v>
      </c>
      <c r="D86" s="3">
        <v>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>
        <f t="shared" si="4"/>
        <v>0</v>
      </c>
      <c r="X86" s="8">
        <f t="shared" si="5"/>
        <v>1</v>
      </c>
    </row>
    <row r="87" spans="1:24" ht="15.5" x14ac:dyDescent="0.35">
      <c r="A87" s="3" t="s">
        <v>55</v>
      </c>
      <c r="B87" s="9" t="s">
        <v>213</v>
      </c>
      <c r="C87" s="3" t="s">
        <v>236</v>
      </c>
      <c r="D87" s="3">
        <v>2</v>
      </c>
      <c r="E87" s="7">
        <v>1</v>
      </c>
      <c r="F87" s="7">
        <v>0</v>
      </c>
      <c r="G87" s="7">
        <v>0.5</v>
      </c>
      <c r="H87" s="7">
        <v>1</v>
      </c>
      <c r="I87" s="7">
        <v>0.5</v>
      </c>
      <c r="J87" s="7">
        <v>0.5</v>
      </c>
      <c r="K87" s="7">
        <v>1</v>
      </c>
      <c r="L87" s="7">
        <v>1</v>
      </c>
      <c r="M87" s="7">
        <v>1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1</v>
      </c>
      <c r="T87" s="7">
        <v>1</v>
      </c>
      <c r="U87" s="7">
        <v>0</v>
      </c>
      <c r="V87" s="7">
        <v>1</v>
      </c>
      <c r="W87" s="7">
        <f t="shared" si="4"/>
        <v>9.5</v>
      </c>
      <c r="X87" s="8">
        <f t="shared" si="5"/>
        <v>5.75</v>
      </c>
    </row>
    <row r="88" spans="1:24" ht="15.5" x14ac:dyDescent="0.35">
      <c r="A88" s="3" t="s">
        <v>104</v>
      </c>
      <c r="B88" s="9" t="s">
        <v>214</v>
      </c>
      <c r="C88" s="3" t="s">
        <v>237</v>
      </c>
      <c r="D88" s="3">
        <v>2</v>
      </c>
      <c r="E88" s="7"/>
      <c r="F88" s="7">
        <v>1</v>
      </c>
      <c r="G88" s="7">
        <v>1</v>
      </c>
      <c r="H88" s="7">
        <v>1</v>
      </c>
      <c r="I88" s="7"/>
      <c r="J88" s="7"/>
      <c r="K88" s="7">
        <v>1</v>
      </c>
      <c r="L88" s="7">
        <v>1</v>
      </c>
      <c r="M88" s="7">
        <v>1</v>
      </c>
      <c r="N88" s="7"/>
      <c r="O88" s="7">
        <v>1</v>
      </c>
      <c r="P88" s="7">
        <v>1</v>
      </c>
      <c r="Q88" s="7"/>
      <c r="R88" s="7">
        <v>1</v>
      </c>
      <c r="S88" s="7">
        <v>1</v>
      </c>
      <c r="T88" s="7"/>
      <c r="U88" s="7">
        <v>1</v>
      </c>
      <c r="V88" s="7">
        <v>1</v>
      </c>
      <c r="W88" s="7">
        <f t="shared" si="4"/>
        <v>12</v>
      </c>
      <c r="X88" s="8">
        <f t="shared" si="5"/>
        <v>7</v>
      </c>
    </row>
    <row r="89" spans="1:24" ht="15.5" x14ac:dyDescent="0.35">
      <c r="A89" s="3" t="s">
        <v>78</v>
      </c>
      <c r="B89" s="9" t="s">
        <v>215</v>
      </c>
      <c r="C89" s="3" t="s">
        <v>235</v>
      </c>
      <c r="D89" s="3">
        <v>1</v>
      </c>
      <c r="E89" s="7">
        <v>1</v>
      </c>
      <c r="F89" s="7"/>
      <c r="G89" s="7">
        <v>1</v>
      </c>
      <c r="H89" s="7">
        <v>1</v>
      </c>
      <c r="I89" s="7"/>
      <c r="J89" s="7"/>
      <c r="K89" s="7">
        <v>1</v>
      </c>
      <c r="L89" s="7">
        <v>1</v>
      </c>
      <c r="M89" s="7">
        <v>1</v>
      </c>
      <c r="N89" s="7"/>
      <c r="O89" s="7">
        <v>1</v>
      </c>
      <c r="P89" s="7"/>
      <c r="Q89" s="7">
        <v>1</v>
      </c>
      <c r="R89" s="7"/>
      <c r="S89" s="7"/>
      <c r="T89" s="7"/>
      <c r="U89" s="7"/>
      <c r="V89" s="7">
        <v>1</v>
      </c>
      <c r="W89" s="7">
        <f t="shared" si="4"/>
        <v>9</v>
      </c>
      <c r="X89" s="8">
        <f t="shared" si="5"/>
        <v>5.5</v>
      </c>
    </row>
    <row r="90" spans="1:24" ht="15.5" x14ac:dyDescent="0.35">
      <c r="A90" s="3" t="s">
        <v>133</v>
      </c>
      <c r="B90" s="9" t="s">
        <v>216</v>
      </c>
      <c r="C90" s="3" t="s">
        <v>234</v>
      </c>
      <c r="D90" s="3">
        <v>1</v>
      </c>
      <c r="E90" s="7">
        <v>0</v>
      </c>
      <c r="F90" s="7">
        <v>0</v>
      </c>
      <c r="G90" s="7">
        <v>0.5</v>
      </c>
      <c r="H90" s="7">
        <v>0.5</v>
      </c>
      <c r="I90" s="7">
        <v>0</v>
      </c>
      <c r="J90" s="7">
        <v>0</v>
      </c>
      <c r="K90" s="7">
        <v>1</v>
      </c>
      <c r="L90" s="7">
        <v>1</v>
      </c>
      <c r="M90" s="7">
        <v>0.5</v>
      </c>
      <c r="N90" s="7">
        <v>0</v>
      </c>
      <c r="O90" s="7">
        <v>1</v>
      </c>
      <c r="P90" s="7">
        <v>0</v>
      </c>
      <c r="Q90" s="7">
        <v>1</v>
      </c>
      <c r="R90" s="7">
        <v>1</v>
      </c>
      <c r="S90" s="7">
        <v>1</v>
      </c>
      <c r="T90" s="7">
        <v>0</v>
      </c>
      <c r="U90" s="7">
        <v>1</v>
      </c>
      <c r="V90" s="7">
        <v>1</v>
      </c>
      <c r="W90" s="7">
        <f t="shared" si="4"/>
        <v>9.5</v>
      </c>
      <c r="X90" s="8">
        <f t="shared" si="5"/>
        <v>5.75</v>
      </c>
    </row>
    <row r="91" spans="1:24" ht="15.5" x14ac:dyDescent="0.35">
      <c r="A91" s="3" t="s">
        <v>75</v>
      </c>
      <c r="B91" s="9" t="s">
        <v>217</v>
      </c>
      <c r="C91" s="3" t="s">
        <v>235</v>
      </c>
      <c r="D91" s="3">
        <v>1</v>
      </c>
      <c r="E91" s="7"/>
      <c r="F91" s="7"/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/>
      <c r="P91" s="7">
        <v>1</v>
      </c>
      <c r="Q91" s="7"/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f t="shared" si="4"/>
        <v>14</v>
      </c>
      <c r="X91" s="8">
        <f t="shared" si="5"/>
        <v>8</v>
      </c>
    </row>
    <row r="92" spans="1:24" ht="15.5" x14ac:dyDescent="0.35">
      <c r="A92" s="3" t="s">
        <v>69</v>
      </c>
      <c r="B92" s="9" t="s">
        <v>22</v>
      </c>
      <c r="C92" s="3" t="s">
        <v>236</v>
      </c>
      <c r="D92" s="3">
        <v>2</v>
      </c>
      <c r="E92" s="7">
        <v>0</v>
      </c>
      <c r="F92" s="7">
        <v>0</v>
      </c>
      <c r="G92" s="7">
        <v>0.5</v>
      </c>
      <c r="H92" s="7">
        <v>1</v>
      </c>
      <c r="I92" s="7">
        <v>0</v>
      </c>
      <c r="J92" s="7">
        <v>1</v>
      </c>
      <c r="K92" s="7">
        <v>1</v>
      </c>
      <c r="L92" s="7">
        <v>1</v>
      </c>
      <c r="M92" s="7">
        <v>0.5</v>
      </c>
      <c r="N92" s="7">
        <v>0</v>
      </c>
      <c r="O92" s="7">
        <v>1</v>
      </c>
      <c r="P92" s="7">
        <v>1</v>
      </c>
      <c r="Q92" s="7">
        <v>1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f t="shared" si="4"/>
        <v>8</v>
      </c>
      <c r="X92" s="8">
        <f t="shared" si="5"/>
        <v>5</v>
      </c>
    </row>
    <row r="93" spans="1:24" ht="15.5" x14ac:dyDescent="0.35">
      <c r="A93" s="3" t="s">
        <v>131</v>
      </c>
      <c r="B93" s="9" t="s">
        <v>218</v>
      </c>
      <c r="C93" s="3" t="s">
        <v>235</v>
      </c>
      <c r="D93" s="3">
        <v>1</v>
      </c>
      <c r="E93" s="7"/>
      <c r="F93" s="7"/>
      <c r="G93" s="7"/>
      <c r="H93" s="7"/>
      <c r="I93" s="7"/>
      <c r="J93" s="7"/>
      <c r="K93" s="7">
        <v>1</v>
      </c>
      <c r="L93" s="7"/>
      <c r="M93" s="7">
        <v>1</v>
      </c>
      <c r="N93" s="7">
        <v>1</v>
      </c>
      <c r="O93" s="7"/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/>
      <c r="V93" s="7">
        <v>1</v>
      </c>
      <c r="W93" s="7">
        <f t="shared" si="4"/>
        <v>9</v>
      </c>
      <c r="X93" s="8">
        <f t="shared" si="5"/>
        <v>5.5</v>
      </c>
    </row>
    <row r="94" spans="1:24" ht="15.5" x14ac:dyDescent="0.35">
      <c r="A94" s="3" t="s">
        <v>41</v>
      </c>
      <c r="B94" s="9" t="s">
        <v>137</v>
      </c>
      <c r="C94" s="3" t="s">
        <v>234</v>
      </c>
      <c r="D94" s="3">
        <v>1</v>
      </c>
      <c r="E94" s="7">
        <v>0</v>
      </c>
      <c r="F94" s="7">
        <v>0</v>
      </c>
      <c r="G94" s="7">
        <v>1</v>
      </c>
      <c r="H94" s="7">
        <v>0.5</v>
      </c>
      <c r="I94" s="7">
        <v>0</v>
      </c>
      <c r="J94" s="7">
        <v>0</v>
      </c>
      <c r="K94" s="7">
        <v>1</v>
      </c>
      <c r="L94" s="7">
        <v>1</v>
      </c>
      <c r="M94" s="7">
        <v>1</v>
      </c>
      <c r="N94" s="7">
        <v>1</v>
      </c>
      <c r="O94" s="7">
        <v>0</v>
      </c>
      <c r="P94" s="7">
        <v>0</v>
      </c>
      <c r="Q94" s="7">
        <v>1</v>
      </c>
      <c r="R94" s="7">
        <v>0</v>
      </c>
      <c r="S94" s="7">
        <v>0</v>
      </c>
      <c r="T94" s="7">
        <v>1</v>
      </c>
      <c r="U94" s="7">
        <v>0</v>
      </c>
      <c r="V94" s="7">
        <v>1</v>
      </c>
      <c r="W94" s="7">
        <f t="shared" si="4"/>
        <v>8.5</v>
      </c>
      <c r="X94" s="8">
        <f t="shared" si="5"/>
        <v>5.25</v>
      </c>
    </row>
    <row r="95" spans="1:24" ht="15.5" x14ac:dyDescent="0.35">
      <c r="A95" s="3" t="s">
        <v>55</v>
      </c>
      <c r="B95" s="9" t="s">
        <v>219</v>
      </c>
      <c r="C95" s="3" t="s">
        <v>237</v>
      </c>
      <c r="D95" s="3">
        <v>2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>
        <f t="shared" si="4"/>
        <v>0</v>
      </c>
      <c r="X95" s="8">
        <f t="shared" si="5"/>
        <v>1</v>
      </c>
    </row>
    <row r="96" spans="1:24" ht="15.5" x14ac:dyDescent="0.35">
      <c r="A96" s="3" t="s">
        <v>63</v>
      </c>
      <c r="B96" s="9" t="s">
        <v>220</v>
      </c>
      <c r="C96" s="3" t="s">
        <v>237</v>
      </c>
      <c r="D96" s="3">
        <v>2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>
        <f t="shared" si="4"/>
        <v>0</v>
      </c>
      <c r="X96" s="8">
        <f t="shared" si="5"/>
        <v>1</v>
      </c>
    </row>
    <row r="97" spans="1:24" ht="15.5" x14ac:dyDescent="0.35">
      <c r="A97" s="3" t="s">
        <v>127</v>
      </c>
      <c r="B97" s="9" t="s">
        <v>31</v>
      </c>
      <c r="C97" s="3" t="s">
        <v>235</v>
      </c>
      <c r="D97" s="3">
        <v>1</v>
      </c>
      <c r="E97" s="7"/>
      <c r="F97" s="7"/>
      <c r="G97" s="7">
        <v>1</v>
      </c>
      <c r="H97" s="7">
        <v>1</v>
      </c>
      <c r="I97" s="7"/>
      <c r="J97" s="7"/>
      <c r="K97" s="7">
        <v>1</v>
      </c>
      <c r="L97" s="7">
        <v>1</v>
      </c>
      <c r="M97" s="7"/>
      <c r="N97" s="7"/>
      <c r="O97" s="7">
        <v>0.5</v>
      </c>
      <c r="P97" s="7"/>
      <c r="Q97" s="7"/>
      <c r="R97" s="7">
        <v>1</v>
      </c>
      <c r="S97" s="7">
        <v>1</v>
      </c>
      <c r="T97" s="7"/>
      <c r="U97" s="7"/>
      <c r="V97" s="7"/>
      <c r="W97" s="7">
        <f t="shared" si="4"/>
        <v>6.5</v>
      </c>
      <c r="X97" s="8">
        <f t="shared" si="5"/>
        <v>4.25</v>
      </c>
    </row>
    <row r="98" spans="1:24" ht="15.5" x14ac:dyDescent="0.35">
      <c r="A98" s="3" t="s">
        <v>54</v>
      </c>
      <c r="B98" s="9" t="s">
        <v>221</v>
      </c>
      <c r="C98" s="3" t="s">
        <v>234</v>
      </c>
      <c r="D98" s="3">
        <v>1</v>
      </c>
      <c r="E98" s="7">
        <v>0</v>
      </c>
      <c r="F98" s="7">
        <v>0</v>
      </c>
      <c r="G98" s="7">
        <v>0</v>
      </c>
      <c r="H98" s="7">
        <v>1</v>
      </c>
      <c r="I98" s="7">
        <v>0</v>
      </c>
      <c r="J98" s="7">
        <v>0</v>
      </c>
      <c r="K98" s="7">
        <v>0.5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f t="shared" si="4"/>
        <v>2.5</v>
      </c>
      <c r="X98" s="8">
        <f t="shared" si="5"/>
        <v>2.25</v>
      </c>
    </row>
    <row r="99" spans="1:24" ht="15.5" x14ac:dyDescent="0.35">
      <c r="A99" s="3" t="s">
        <v>84</v>
      </c>
      <c r="B99" s="9" t="s">
        <v>222</v>
      </c>
      <c r="C99" s="3" t="s">
        <v>235</v>
      </c>
      <c r="D99" s="3">
        <v>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>
        <f t="shared" ref="W99:W110" si="6">SUM(E99:V99)</f>
        <v>0</v>
      </c>
      <c r="X99" s="8">
        <f t="shared" ref="X99:X110" si="7">1+W99/18*9</f>
        <v>1</v>
      </c>
    </row>
    <row r="100" spans="1:24" ht="15.5" x14ac:dyDescent="0.35">
      <c r="A100" s="3" t="s">
        <v>37</v>
      </c>
      <c r="B100" s="9" t="s">
        <v>17</v>
      </c>
      <c r="C100" s="3" t="s">
        <v>234</v>
      </c>
      <c r="D100" s="3">
        <v>1</v>
      </c>
      <c r="E100" s="7">
        <v>1</v>
      </c>
      <c r="F100" s="7">
        <v>0</v>
      </c>
      <c r="G100" s="7">
        <v>0.5</v>
      </c>
      <c r="H100" s="7">
        <v>1</v>
      </c>
      <c r="I100" s="7">
        <v>0</v>
      </c>
      <c r="J100" s="7">
        <v>0</v>
      </c>
      <c r="K100" s="7">
        <v>0.5</v>
      </c>
      <c r="L100" s="7">
        <v>0</v>
      </c>
      <c r="M100" s="7">
        <v>1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1</v>
      </c>
      <c r="W100" s="7">
        <f t="shared" si="6"/>
        <v>6</v>
      </c>
      <c r="X100" s="8">
        <f t="shared" si="7"/>
        <v>4</v>
      </c>
    </row>
    <row r="101" spans="1:24" ht="15.5" x14ac:dyDescent="0.35">
      <c r="A101" s="3" t="s">
        <v>43</v>
      </c>
      <c r="B101" s="9" t="s">
        <v>223</v>
      </c>
      <c r="C101" s="3" t="s">
        <v>236</v>
      </c>
      <c r="D101" s="3">
        <v>2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>
        <f t="shared" si="6"/>
        <v>0</v>
      </c>
      <c r="X101" s="8">
        <f t="shared" si="7"/>
        <v>1</v>
      </c>
    </row>
    <row r="102" spans="1:24" ht="15.5" x14ac:dyDescent="0.35">
      <c r="A102" s="3" t="s">
        <v>45</v>
      </c>
      <c r="B102" s="9" t="s">
        <v>224</v>
      </c>
      <c r="C102" s="3" t="s">
        <v>235</v>
      </c>
      <c r="D102" s="3">
        <v>1</v>
      </c>
      <c r="E102" s="7"/>
      <c r="F102" s="7"/>
      <c r="G102" s="7">
        <v>1</v>
      </c>
      <c r="H102" s="7">
        <v>1</v>
      </c>
      <c r="I102" s="7"/>
      <c r="J102" s="7"/>
      <c r="K102" s="7"/>
      <c r="L102" s="7"/>
      <c r="M102" s="7">
        <v>1</v>
      </c>
      <c r="N102" s="7">
        <v>1</v>
      </c>
      <c r="O102" s="7">
        <v>1</v>
      </c>
      <c r="P102" s="7"/>
      <c r="Q102" s="7"/>
      <c r="R102" s="7"/>
      <c r="S102" s="7">
        <v>1</v>
      </c>
      <c r="T102" s="7"/>
      <c r="U102" s="7"/>
      <c r="V102" s="7"/>
      <c r="W102" s="7">
        <f t="shared" si="6"/>
        <v>6</v>
      </c>
      <c r="X102" s="8">
        <f t="shared" si="7"/>
        <v>4</v>
      </c>
    </row>
    <row r="103" spans="1:24" ht="15.5" x14ac:dyDescent="0.35">
      <c r="A103" s="3" t="s">
        <v>97</v>
      </c>
      <c r="B103" s="9" t="s">
        <v>225</v>
      </c>
      <c r="C103" s="3" t="s">
        <v>235</v>
      </c>
      <c r="D103" s="3">
        <v>1</v>
      </c>
      <c r="E103" s="7">
        <v>1</v>
      </c>
      <c r="F103" s="7">
        <v>1</v>
      </c>
      <c r="G103" s="7">
        <v>1</v>
      </c>
      <c r="H103" s="7">
        <v>1</v>
      </c>
      <c r="I103" s="7"/>
      <c r="J103" s="7"/>
      <c r="K103" s="7">
        <v>1</v>
      </c>
      <c r="L103" s="7">
        <v>1</v>
      </c>
      <c r="M103" s="7">
        <v>1</v>
      </c>
      <c r="N103" s="7">
        <v>1</v>
      </c>
      <c r="O103" s="7"/>
      <c r="P103" s="7">
        <v>1</v>
      </c>
      <c r="Q103" s="7"/>
      <c r="R103" s="7"/>
      <c r="S103" s="7"/>
      <c r="T103" s="7"/>
      <c r="U103" s="7"/>
      <c r="V103" s="7">
        <v>1</v>
      </c>
      <c r="W103" s="7">
        <f t="shared" si="6"/>
        <v>10</v>
      </c>
      <c r="X103" s="8">
        <f t="shared" si="7"/>
        <v>6</v>
      </c>
    </row>
    <row r="104" spans="1:24" ht="15.5" x14ac:dyDescent="0.35">
      <c r="A104" s="3" t="s">
        <v>34</v>
      </c>
      <c r="B104" s="9" t="s">
        <v>226</v>
      </c>
      <c r="C104" s="3" t="s">
        <v>237</v>
      </c>
      <c r="D104" s="3">
        <v>2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>
        <f t="shared" si="6"/>
        <v>0</v>
      </c>
      <c r="X104" s="8">
        <f t="shared" si="7"/>
        <v>1</v>
      </c>
    </row>
    <row r="105" spans="1:24" ht="15.5" x14ac:dyDescent="0.35">
      <c r="A105" s="3" t="s">
        <v>124</v>
      </c>
      <c r="B105" s="9" t="s">
        <v>227</v>
      </c>
      <c r="C105" s="3" t="s">
        <v>238</v>
      </c>
      <c r="D105" s="3" t="s">
        <v>14</v>
      </c>
      <c r="E105" s="7">
        <v>1</v>
      </c>
      <c r="F105" s="7"/>
      <c r="G105" s="7">
        <v>0.5</v>
      </c>
      <c r="H105" s="7">
        <v>1</v>
      </c>
      <c r="I105" s="7"/>
      <c r="J105" s="7"/>
      <c r="K105" s="7">
        <v>1</v>
      </c>
      <c r="L105" s="7">
        <v>1</v>
      </c>
      <c r="M105" s="7">
        <v>1</v>
      </c>
      <c r="N105" s="7">
        <v>1</v>
      </c>
      <c r="O105" s="7"/>
      <c r="P105" s="7">
        <v>1</v>
      </c>
      <c r="Q105" s="7"/>
      <c r="R105" s="7">
        <v>1</v>
      </c>
      <c r="S105" s="7">
        <v>1</v>
      </c>
      <c r="T105" s="7"/>
      <c r="U105" s="7"/>
      <c r="V105" s="7">
        <v>1</v>
      </c>
      <c r="W105" s="7">
        <f t="shared" si="6"/>
        <v>10.5</v>
      </c>
      <c r="X105" s="8">
        <f t="shared" si="7"/>
        <v>6.25</v>
      </c>
    </row>
    <row r="106" spans="1:24" ht="15.5" x14ac:dyDescent="0.35">
      <c r="A106" s="3" t="s">
        <v>68</v>
      </c>
      <c r="B106" s="9" t="s">
        <v>228</v>
      </c>
      <c r="C106" s="3" t="s">
        <v>234</v>
      </c>
      <c r="D106" s="3">
        <v>1</v>
      </c>
      <c r="E106" s="7">
        <v>1</v>
      </c>
      <c r="F106" s="7">
        <v>0</v>
      </c>
      <c r="G106" s="7">
        <v>0</v>
      </c>
      <c r="H106" s="7">
        <v>1</v>
      </c>
      <c r="I106" s="7">
        <v>0</v>
      </c>
      <c r="J106" s="7">
        <v>0</v>
      </c>
      <c r="K106" s="7">
        <v>0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  <c r="T106" s="7">
        <v>0</v>
      </c>
      <c r="U106" s="7">
        <v>0</v>
      </c>
      <c r="V106" s="7">
        <v>1</v>
      </c>
      <c r="W106" s="7">
        <f t="shared" si="6"/>
        <v>5</v>
      </c>
      <c r="X106" s="8">
        <f t="shared" si="7"/>
        <v>3.5</v>
      </c>
    </row>
    <row r="107" spans="1:24" ht="15.5" x14ac:dyDescent="0.35">
      <c r="A107" s="3" t="s">
        <v>62</v>
      </c>
      <c r="B107" s="9" t="s">
        <v>229</v>
      </c>
      <c r="C107" s="3" t="s">
        <v>234</v>
      </c>
      <c r="D107" s="3">
        <v>1</v>
      </c>
      <c r="E107" s="7">
        <v>1</v>
      </c>
      <c r="F107" s="7">
        <v>0</v>
      </c>
      <c r="G107" s="7">
        <v>0</v>
      </c>
      <c r="H107" s="7">
        <v>0.5</v>
      </c>
      <c r="I107" s="7">
        <v>0</v>
      </c>
      <c r="J107" s="7">
        <v>0</v>
      </c>
      <c r="K107" s="7">
        <v>0.5</v>
      </c>
      <c r="L107" s="7">
        <v>0</v>
      </c>
      <c r="M107" s="7">
        <v>0</v>
      </c>
      <c r="N107" s="7">
        <v>1</v>
      </c>
      <c r="O107" s="7">
        <v>0.5</v>
      </c>
      <c r="P107" s="7">
        <v>0</v>
      </c>
      <c r="Q107" s="7">
        <v>1</v>
      </c>
      <c r="R107" s="7">
        <v>1</v>
      </c>
      <c r="S107" s="7">
        <v>0</v>
      </c>
      <c r="T107" s="7">
        <v>0</v>
      </c>
      <c r="U107" s="7">
        <v>0</v>
      </c>
      <c r="V107" s="7">
        <v>1</v>
      </c>
      <c r="W107" s="7">
        <f t="shared" si="6"/>
        <v>6.5</v>
      </c>
      <c r="X107" s="8">
        <f t="shared" si="7"/>
        <v>4.25</v>
      </c>
    </row>
    <row r="108" spans="1:24" ht="15.5" x14ac:dyDescent="0.35">
      <c r="A108" s="3" t="s">
        <v>72</v>
      </c>
      <c r="B108" s="9" t="s">
        <v>230</v>
      </c>
      <c r="C108" s="3" t="s">
        <v>236</v>
      </c>
      <c r="D108" s="3">
        <v>2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0</v>
      </c>
      <c r="K108" s="7">
        <v>1</v>
      </c>
      <c r="L108" s="7">
        <v>1</v>
      </c>
      <c r="M108" s="7">
        <v>0</v>
      </c>
      <c r="N108" s="7">
        <v>0</v>
      </c>
      <c r="O108" s="7">
        <v>0.5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f t="shared" si="6"/>
        <v>7.5</v>
      </c>
      <c r="X108" s="8">
        <f t="shared" si="7"/>
        <v>4.75</v>
      </c>
    </row>
    <row r="109" spans="1:24" ht="15.5" x14ac:dyDescent="0.35">
      <c r="A109" s="3" t="s">
        <v>89</v>
      </c>
      <c r="B109" s="9" t="s">
        <v>231</v>
      </c>
      <c r="C109" s="3" t="s">
        <v>236</v>
      </c>
      <c r="D109" s="3">
        <v>2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>
        <f t="shared" si="6"/>
        <v>0</v>
      </c>
      <c r="X109" s="8">
        <f t="shared" si="7"/>
        <v>1</v>
      </c>
    </row>
    <row r="110" spans="1:24" ht="15.5" x14ac:dyDescent="0.35">
      <c r="A110" s="3" t="s">
        <v>50</v>
      </c>
      <c r="B110" s="9" t="s">
        <v>232</v>
      </c>
      <c r="C110" s="3" t="s">
        <v>237</v>
      </c>
      <c r="D110" s="3">
        <v>2</v>
      </c>
      <c r="E110" s="7">
        <v>1</v>
      </c>
      <c r="F110" s="7"/>
      <c r="G110" s="7">
        <v>1</v>
      </c>
      <c r="H110" s="7">
        <v>1</v>
      </c>
      <c r="I110" s="7">
        <v>0.5</v>
      </c>
      <c r="J110" s="7"/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f t="shared" si="6"/>
        <v>15.5</v>
      </c>
      <c r="X110" s="8">
        <f t="shared" si="7"/>
        <v>8.75</v>
      </c>
    </row>
  </sheetData>
  <autoFilter ref="A2:X110" xr:uid="{00000000-0001-0000-0000-000000000000}"/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B24645174B34AAE612AEA3F45680C" ma:contentTypeVersion="39" ma:contentTypeDescription="Create a new document." ma:contentTypeScope="" ma:versionID="e0636837df7cf9305755b5f8da1c2606">
  <xsd:schema xmlns:xsd="http://www.w3.org/2001/XMLSchema" xmlns:xs="http://www.w3.org/2001/XMLSchema" xmlns:p="http://schemas.microsoft.com/office/2006/metadata/properties" xmlns:ns2="31aac56a-7380-40c1-b5d5-0ac85f51d682" xmlns:ns3="12ed565a-e95e-443a-bf4c-3f81815d7a82" targetNamespace="http://schemas.microsoft.com/office/2006/metadata/properties" ma:root="true" ma:fieldsID="d4c01e09f3ae636f514b14e926364f0e" ns2:_="" ns3:_="">
    <xsd:import namespace="31aac56a-7380-40c1-b5d5-0ac85f51d682"/>
    <xsd:import namespace="12ed565a-e95e-443a-bf4c-3f81815d7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56a-7380-40c1-b5d5-0ac85f51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77cde-f098-4d32-ba13-c78038edde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ebookType" ma:index="24" nillable="true" ma:displayName="Notebook Type" ma:internalName="NotebookType">
      <xsd:simpleType>
        <xsd:restriction base="dms:Text"/>
      </xsd:simpleType>
    </xsd:element>
    <xsd:element name="FolderType" ma:index="25" nillable="true" ma:displayName="Folder Type" ma:internalName="FolderType">
      <xsd:simpleType>
        <xsd:restriction base="dms:Text"/>
      </xsd:simpleType>
    </xsd:element>
    <xsd:element name="CultureName" ma:index="26" nillable="true" ma:displayName="Culture Name" ma:internalName="CultureName">
      <xsd:simpleType>
        <xsd:restriction base="dms:Text"/>
      </xsd:simpleType>
    </xsd:element>
    <xsd:element name="AppVersion" ma:index="27" nillable="true" ma:displayName="App Version" ma:internalName="AppVersion">
      <xsd:simpleType>
        <xsd:restriction base="dms:Text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Owner" ma:index="2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0" nillable="true" ma:displayName="Math Settings" ma:internalName="Math_Settings">
      <xsd:simpleType>
        <xsd:restriction base="dms:Text"/>
      </xsd:simpleType>
    </xsd:element>
    <xsd:element name="DefaultSectionNames" ma:index="3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2" nillable="true" ma:displayName="Is Collaboration Space Locked" ma:internalName="Is_Collaboration_Space_Locked">
      <xsd:simpleType>
        <xsd:restriction base="dms:Boolean"/>
      </xsd:simpleType>
    </xsd:element>
    <xsd:element name="IsNotebookLocked" ma:index="43" nillable="true" ma:displayName="Is Notebook Locked" ma:internalName="IsNotebookLocked">
      <xsd:simpleType>
        <xsd:restriction base="dms:Boolean"/>
      </xsd:simpleType>
    </xsd:element>
    <xsd:element name="Teams_Channel_Section_Location" ma:index="44" nillable="true" ma:displayName="Teams Channel Section Location" ma:internalName="Teams_Channel_Section_Location">
      <xsd:simpleType>
        <xsd:restriction base="dms:Text"/>
      </xsd:simple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d565a-e95e-443a-bf4c-3f81815d7a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0807be8-36af-4095-92db-73aae78fcf1b}" ma:internalName="TaxCatchAll" ma:showField="CatchAllData" ma:web="12ed565a-e95e-443a-bf4c-3f81815d7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aac56a-7380-40c1-b5d5-0ac85f51d682">
      <Terms xmlns="http://schemas.microsoft.com/office/infopath/2007/PartnerControls"/>
    </lcf76f155ced4ddcb4097134ff3c332f>
    <Owner xmlns="31aac56a-7380-40c1-b5d5-0ac85f51d682">
      <UserInfo>
        <DisplayName/>
        <AccountId xsi:nil="true"/>
        <AccountType/>
      </UserInfo>
    </Owner>
    <Students xmlns="31aac56a-7380-40c1-b5d5-0ac85f51d682">
      <UserInfo>
        <DisplayName/>
        <AccountId xsi:nil="true"/>
        <AccountType/>
      </UserInfo>
    </Students>
    <Student_Groups xmlns="31aac56a-7380-40c1-b5d5-0ac85f51d682">
      <UserInfo>
        <DisplayName/>
        <AccountId xsi:nil="true"/>
        <AccountType/>
      </UserInfo>
    </Student_Groups>
    <LMS_Mappings xmlns="31aac56a-7380-40c1-b5d5-0ac85f51d682" xsi:nil="true"/>
    <Has_Teacher_Only_SectionGroup xmlns="31aac56a-7380-40c1-b5d5-0ac85f51d682" xsi:nil="true"/>
    <CultureName xmlns="31aac56a-7380-40c1-b5d5-0ac85f51d682" xsi:nil="true"/>
    <AppVersion xmlns="31aac56a-7380-40c1-b5d5-0ac85f51d682" xsi:nil="true"/>
    <Invited_Teachers xmlns="31aac56a-7380-40c1-b5d5-0ac85f51d682" xsi:nil="true"/>
    <Invited_Students xmlns="31aac56a-7380-40c1-b5d5-0ac85f51d682" xsi:nil="true"/>
    <DefaultSectionNames xmlns="31aac56a-7380-40c1-b5d5-0ac85f51d682" xsi:nil="true"/>
    <Math_Settings xmlns="31aac56a-7380-40c1-b5d5-0ac85f51d682" xsi:nil="true"/>
    <Templates xmlns="31aac56a-7380-40c1-b5d5-0ac85f51d682" xsi:nil="true"/>
    <Self_Registration_Enabled xmlns="31aac56a-7380-40c1-b5d5-0ac85f51d682" xsi:nil="true"/>
    <Teachers xmlns="31aac56a-7380-40c1-b5d5-0ac85f51d682">
      <UserInfo>
        <DisplayName/>
        <AccountId xsi:nil="true"/>
        <AccountType/>
      </UserInfo>
    </Teachers>
    <Is_Collaboration_Space_Locked xmlns="31aac56a-7380-40c1-b5d5-0ac85f51d682" xsi:nil="true"/>
    <Teams_Channel_Section_Location xmlns="31aac56a-7380-40c1-b5d5-0ac85f51d682" xsi:nil="true"/>
    <TaxCatchAll xmlns="12ed565a-e95e-443a-bf4c-3f81815d7a82" xsi:nil="true"/>
    <Distribution_Groups xmlns="31aac56a-7380-40c1-b5d5-0ac85f51d682" xsi:nil="true"/>
    <NotebookType xmlns="31aac56a-7380-40c1-b5d5-0ac85f51d682" xsi:nil="true"/>
    <FolderType xmlns="31aac56a-7380-40c1-b5d5-0ac85f51d682" xsi:nil="true"/>
    <TeamsChannelId xmlns="31aac56a-7380-40c1-b5d5-0ac85f51d682" xsi:nil="true"/>
    <IsNotebookLocked xmlns="31aac56a-7380-40c1-b5d5-0ac85f51d682" xsi:nil="true"/>
  </documentManagement>
</p:properties>
</file>

<file path=customXml/itemProps1.xml><?xml version="1.0" encoding="utf-8"?>
<ds:datastoreItem xmlns:ds="http://schemas.openxmlformats.org/officeDocument/2006/customXml" ds:itemID="{ACBACD8E-7A8B-45AD-8470-5FCEE7CE2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aac56a-7380-40c1-b5d5-0ac85f51d682"/>
    <ds:schemaRef ds:uri="12ed565a-e95e-443a-bf4c-3f81815d7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1C1BCA-F787-483A-B055-46F77AACB4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8032E-F35D-46F8-BBA7-17769C56C5BA}">
  <ds:schemaRefs>
    <ds:schemaRef ds:uri="http://schemas.microsoft.com/office/2006/metadata/properties"/>
    <ds:schemaRef ds:uri="http://schemas.microsoft.com/office/infopath/2007/PartnerControls"/>
    <ds:schemaRef ds:uri="31aac56a-7380-40c1-b5d5-0ac85f51d682"/>
    <ds:schemaRef ds:uri="12ed565a-e95e-443a-bf4c-3f81815d7a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Bochove-Smid, A. van (Aart)</dc:creator>
  <cp:keywords/>
  <dc:description/>
  <cp:lastModifiedBy>Busker, A.L.J. (Tony)</cp:lastModifiedBy>
  <cp:revision/>
  <dcterms:created xsi:type="dcterms:W3CDTF">2015-06-05T18:17:20Z</dcterms:created>
  <dcterms:modified xsi:type="dcterms:W3CDTF">2024-11-02T10:08:50Z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0x0101009F2B24645174B34AAE612AEA3F45680C</vt:lpwstr>
  </property>
  <property fmtid="{D5CDD505-2E9C-101B-9397-08002B2CF9AE}" pid="3" name="MediaServiceImageTags">
    <vt:lpwstr/>
  </property>
</Properties>
</file>